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Documents\_FORMS\"/>
    </mc:Choice>
  </mc:AlternateContent>
  <xr:revisionPtr revIDLastSave="0" documentId="13_ncr:1_{42463483-5467-4FEE-853D-F7F05B49C502}" xr6:coauthVersionLast="46" xr6:coauthVersionMax="46" xr10:uidLastSave="{00000000-0000-0000-0000-000000000000}"/>
  <bookViews>
    <workbookView xWindow="-25320" yWindow="255" windowWidth="25440" windowHeight="15390" xr2:uid="{00000000-000D-0000-FFFF-FFFF00000000}"/>
  </bookViews>
  <sheets>
    <sheet name="DATA ENTRY" sheetId="1" r:id="rId1"/>
    <sheet name="MH SCHEDULE" sheetId="8" r:id="rId2"/>
    <sheet name="Depths" sheetId="6" r:id="rId3"/>
    <sheet name="Material" sheetId="7" r:id="rId4"/>
    <sheet name="Settings" sheetId="3" r:id="rId5"/>
    <sheet name="Change List " sheetId="9" r:id="rId6"/>
  </sheets>
  <definedNames>
    <definedName name="Data_Date">'DATA ENTRY'!$G$2</definedName>
    <definedName name="Dwgs">'DATA ENTRY'!$C$2</definedName>
    <definedName name="ID_Type_List">Allowance[Type]</definedName>
    <definedName name="Job_No">'DATA ENTRY'!$G$1</definedName>
    <definedName name="Job_Title">'DATA ENTRY'!$C$1</definedName>
    <definedName name="_xlnm.Print_Area" localSheetId="0">'DATA ENTRY'!#REF!</definedName>
    <definedName name="_xlnm.Print_Area" localSheetId="2">Depths!$A$1:$AF$13</definedName>
    <definedName name="_xlnm.Print_Area" localSheetId="3">Material!$A$1:$AA$9</definedName>
    <definedName name="_xlnm.Print_Titles" localSheetId="2">Depths!$1:$3</definedName>
    <definedName name="_xlnm.Print_Titles" localSheetId="3">Material!$1:$3</definedName>
    <definedName name="Product_Type">Settings!$B$18:$H$18</definedName>
    <definedName name="Resize_Depths">OFFSET(Depths!$A$5,0,0,ROWS(DATA[]),COLUMNS(Depths[]))</definedName>
    <definedName name="Resize_Material">OFFSET(Material!$A$5,0,0,ROWS(DATA[]),COLUMNS(Material[]))</definedName>
    <definedName name="Revision">'DATA ENTRY'!$J$1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5" i="6" l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E3" i="8" l="1"/>
  <c r="E55" i="1" s="1"/>
  <c r="J7" i="1"/>
  <c r="J8" i="1"/>
  <c r="J10" i="1"/>
  <c r="J11" i="1"/>
  <c r="J12" i="1"/>
  <c r="J13" i="1"/>
  <c r="J15" i="1"/>
  <c r="J16" i="1"/>
  <c r="J17" i="1"/>
  <c r="J18" i="1"/>
  <c r="J21" i="1"/>
  <c r="J22" i="1"/>
  <c r="J23" i="1"/>
  <c r="J24" i="1"/>
  <c r="J25" i="1"/>
  <c r="J26" i="1"/>
  <c r="J29" i="1"/>
  <c r="J30" i="1"/>
  <c r="J31" i="1"/>
  <c r="J32" i="1"/>
  <c r="J33" i="1"/>
  <c r="J35" i="1"/>
  <c r="J37" i="1"/>
  <c r="J38" i="1"/>
  <c r="J40" i="1"/>
  <c r="J41" i="1"/>
  <c r="J42" i="1"/>
  <c r="J43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9" i="1"/>
  <c r="J70" i="1"/>
  <c r="J72" i="1"/>
  <c r="E72" i="1"/>
  <c r="E65" i="1"/>
  <c r="E66" i="1"/>
  <c r="E67" i="1"/>
  <c r="E11" i="1"/>
  <c r="E16" i="1"/>
  <c r="E22" i="1"/>
  <c r="E26" i="1"/>
  <c r="E30" i="1"/>
  <c r="E41" i="1"/>
  <c r="E46" i="1"/>
  <c r="E49" i="1"/>
  <c r="E50" i="1"/>
  <c r="E51" i="1"/>
  <c r="E53" i="1"/>
  <c r="E21" i="8"/>
  <c r="J71" i="1" s="1"/>
  <c r="E20" i="8"/>
  <c r="E69" i="1" s="1"/>
  <c r="E19" i="8"/>
  <c r="E68" i="1" s="1"/>
  <c r="E18" i="8"/>
  <c r="J39" i="1" s="1"/>
  <c r="E17" i="8"/>
  <c r="E24" i="1" s="1"/>
  <c r="E16" i="8"/>
  <c r="E48" i="1" s="1"/>
  <c r="E15" i="8"/>
  <c r="E32" i="1" s="1"/>
  <c r="E14" i="8"/>
  <c r="E17" i="1" s="1"/>
  <c r="E13" i="8"/>
  <c r="E12" i="1" s="1"/>
  <c r="E12" i="8"/>
  <c r="J19" i="1" s="1"/>
  <c r="E11" i="8"/>
  <c r="J27" i="1" s="1"/>
  <c r="E10" i="8"/>
  <c r="E44" i="1" s="1"/>
  <c r="E9" i="8"/>
  <c r="E36" i="1" s="1"/>
  <c r="E8" i="8"/>
  <c r="E61" i="1" s="1"/>
  <c r="E7" i="8"/>
  <c r="E60" i="1" s="1"/>
  <c r="E6" i="8"/>
  <c r="E8" i="1" s="1"/>
  <c r="E5" i="8"/>
  <c r="J6" i="1" s="1"/>
  <c r="E4" i="8"/>
  <c r="E6" i="1" s="1"/>
  <c r="E2" i="8"/>
  <c r="E15" i="1" l="1"/>
  <c r="E64" i="1"/>
  <c r="E39" i="1"/>
  <c r="E23" i="1"/>
  <c r="J34" i="1"/>
  <c r="E63" i="1"/>
  <c r="E52" i="1"/>
  <c r="E31" i="1"/>
  <c r="E7" i="1"/>
  <c r="E59" i="1"/>
  <c r="E43" i="1"/>
  <c r="E47" i="1"/>
  <c r="E35" i="1"/>
  <c r="J14" i="1"/>
  <c r="E62" i="1"/>
  <c r="E58" i="1"/>
  <c r="E54" i="1"/>
  <c r="E42" i="1"/>
  <c r="E38" i="1"/>
  <c r="E34" i="1"/>
  <c r="E18" i="1"/>
  <c r="E14" i="1"/>
  <c r="E10" i="1"/>
  <c r="E71" i="1"/>
  <c r="J9" i="1"/>
  <c r="E27" i="1"/>
  <c r="E19" i="1"/>
  <c r="E57" i="1"/>
  <c r="E45" i="1"/>
  <c r="E37" i="1"/>
  <c r="E33" i="1"/>
  <c r="E29" i="1"/>
  <c r="E25" i="1"/>
  <c r="E21" i="1"/>
  <c r="E13" i="1"/>
  <c r="E9" i="1"/>
  <c r="E70" i="1"/>
  <c r="J68" i="1"/>
  <c r="J44" i="1"/>
  <c r="J36" i="1"/>
  <c r="J28" i="1"/>
  <c r="J20" i="1"/>
  <c r="E56" i="1"/>
  <c r="E40" i="1"/>
  <c r="E28" i="1"/>
  <c r="E20" i="1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D14" i="7"/>
  <c r="AE14" i="7" s="1"/>
  <c r="AD15" i="7"/>
  <c r="AE15" i="7" s="1"/>
  <c r="AD16" i="7"/>
  <c r="AD17" i="7"/>
  <c r="AD18" i="7"/>
  <c r="AE18" i="7" s="1"/>
  <c r="AD19" i="7"/>
  <c r="AE19" i="7" s="1"/>
  <c r="AD20" i="7"/>
  <c r="AD21" i="7"/>
  <c r="AD22" i="7"/>
  <c r="AE22" i="7" s="1"/>
  <c r="AD23" i="7"/>
  <c r="AE23" i="7" s="1"/>
  <c r="AD24" i="7"/>
  <c r="AD25" i="7"/>
  <c r="AD26" i="7"/>
  <c r="AE26" i="7" s="1"/>
  <c r="AD27" i="7"/>
  <c r="AE27" i="7" s="1"/>
  <c r="AD28" i="7"/>
  <c r="AD29" i="7"/>
  <c r="AD30" i="7"/>
  <c r="AE30" i="7" s="1"/>
  <c r="AD31" i="7"/>
  <c r="AE31" i="7" s="1"/>
  <c r="AD32" i="7"/>
  <c r="AD33" i="7"/>
  <c r="AD34" i="7"/>
  <c r="AE34" i="7" s="1"/>
  <c r="AD35" i="7"/>
  <c r="AE35" i="7" s="1"/>
  <c r="AD36" i="7"/>
  <c r="AD37" i="7"/>
  <c r="AD38" i="7"/>
  <c r="AE38" i="7" s="1"/>
  <c r="AD39" i="7"/>
  <c r="AD40" i="7"/>
  <c r="AD41" i="7"/>
  <c r="AD42" i="7"/>
  <c r="AE42" i="7" s="1"/>
  <c r="AD43" i="7"/>
  <c r="AE43" i="7" s="1"/>
  <c r="AD44" i="7"/>
  <c r="AE44" i="7" s="1"/>
  <c r="AD45" i="7"/>
  <c r="AD46" i="7"/>
  <c r="AE46" i="7" s="1"/>
  <c r="AD47" i="7"/>
  <c r="AE47" i="7" s="1"/>
  <c r="AD48" i="7"/>
  <c r="AD49" i="7"/>
  <c r="AD50" i="7"/>
  <c r="AE50" i="7" s="1"/>
  <c r="AD51" i="7"/>
  <c r="AE51" i="7" s="1"/>
  <c r="AD52" i="7"/>
  <c r="AD53" i="7"/>
  <c r="AD54" i="7"/>
  <c r="AE54" i="7" s="1"/>
  <c r="AD55" i="7"/>
  <c r="AE55" i="7" s="1"/>
  <c r="AD56" i="7"/>
  <c r="AD57" i="7"/>
  <c r="AD58" i="7"/>
  <c r="AE58" i="7" s="1"/>
  <c r="AD59" i="7"/>
  <c r="AE59" i="7" s="1"/>
  <c r="AD60" i="7"/>
  <c r="AE60" i="7" s="1"/>
  <c r="AD61" i="7"/>
  <c r="AD62" i="7"/>
  <c r="AE62" i="7" s="1"/>
  <c r="AD63" i="7"/>
  <c r="AD64" i="7"/>
  <c r="AD65" i="7"/>
  <c r="AD66" i="7"/>
  <c r="AE66" i="7" s="1"/>
  <c r="AD67" i="7"/>
  <c r="AE67" i="7" s="1"/>
  <c r="AD68" i="7"/>
  <c r="AD69" i="7"/>
  <c r="AD70" i="7"/>
  <c r="AE70" i="7" s="1"/>
  <c r="AD71" i="7"/>
  <c r="AE71" i="7" s="1"/>
  <c r="AD72" i="7"/>
  <c r="AE72" i="7" s="1"/>
  <c r="AE16" i="7"/>
  <c r="AE17" i="7"/>
  <c r="AE20" i="7"/>
  <c r="AE21" i="7"/>
  <c r="AE24" i="7"/>
  <c r="AE25" i="7"/>
  <c r="AE28" i="7"/>
  <c r="AE29" i="7"/>
  <c r="AE32" i="7"/>
  <c r="AE33" i="7"/>
  <c r="AE36" i="7"/>
  <c r="AE37" i="7"/>
  <c r="AE39" i="7"/>
  <c r="AE40" i="7"/>
  <c r="AE45" i="7"/>
  <c r="AE48" i="7"/>
  <c r="AE49" i="7"/>
  <c r="AE52" i="7"/>
  <c r="AE56" i="7"/>
  <c r="AE57" i="7"/>
  <c r="AE61" i="7"/>
  <c r="AE63" i="7"/>
  <c r="AE64" i="7"/>
  <c r="AE65" i="7"/>
  <c r="AE68" i="7"/>
  <c r="AE69" i="7"/>
  <c r="A66" i="6"/>
  <c r="A67" i="6"/>
  <c r="A68" i="6"/>
  <c r="A69" i="6"/>
  <c r="A70" i="6"/>
  <c r="A71" i="6"/>
  <c r="A72" i="6"/>
  <c r="B66" i="6"/>
  <c r="B67" i="6"/>
  <c r="B72" i="6"/>
  <c r="C66" i="6"/>
  <c r="C67" i="6"/>
  <c r="C68" i="6"/>
  <c r="C69" i="6"/>
  <c r="C70" i="6"/>
  <c r="C71" i="6"/>
  <c r="C72" i="6"/>
  <c r="D66" i="6"/>
  <c r="D67" i="6"/>
  <c r="D69" i="6"/>
  <c r="D70" i="6"/>
  <c r="D72" i="6"/>
  <c r="E66" i="6"/>
  <c r="E67" i="6"/>
  <c r="E68" i="6"/>
  <c r="E69" i="6"/>
  <c r="E70" i="6"/>
  <c r="E71" i="6"/>
  <c r="E72" i="6"/>
  <c r="AG67" i="6" l="1"/>
  <c r="AG72" i="6"/>
  <c r="AE53" i="7"/>
  <c r="AE41" i="7"/>
  <c r="AG66" i="6"/>
  <c r="Q72" i="1"/>
  <c r="D71" i="6"/>
  <c r="B68" i="6"/>
  <c r="Q67" i="1"/>
  <c r="Q66" i="1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B49" i="6"/>
  <c r="B50" i="6"/>
  <c r="B51" i="6"/>
  <c r="B65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D15" i="6"/>
  <c r="D16" i="6"/>
  <c r="D17" i="6"/>
  <c r="D18" i="6"/>
  <c r="D21" i="6"/>
  <c r="D22" i="6"/>
  <c r="D23" i="6"/>
  <c r="D24" i="6"/>
  <c r="D25" i="6"/>
  <c r="D26" i="6"/>
  <c r="D29" i="6"/>
  <c r="D30" i="6"/>
  <c r="D31" i="6"/>
  <c r="D32" i="6"/>
  <c r="D33" i="6"/>
  <c r="D35" i="6"/>
  <c r="D37" i="6"/>
  <c r="D38" i="6"/>
  <c r="D40" i="6"/>
  <c r="D41" i="6"/>
  <c r="D42" i="6"/>
  <c r="D43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Q49" i="1"/>
  <c r="AF49" i="7" s="1"/>
  <c r="AG49" i="7" s="1"/>
  <c r="A6" i="1"/>
  <c r="A7" i="1" s="1"/>
  <c r="A8" i="1" s="1"/>
  <c r="A9" i="1" s="1"/>
  <c r="A10" i="1" s="1"/>
  <c r="A11" i="1" s="1"/>
  <c r="A12" i="1" s="1"/>
  <c r="A13" i="1" s="1"/>
  <c r="A14" i="1" s="1"/>
  <c r="Q5" i="1"/>
  <c r="Q65" i="1"/>
  <c r="AF65" i="7" s="1"/>
  <c r="AG65" i="7" s="1"/>
  <c r="Q51" i="1"/>
  <c r="AF51" i="7" s="1"/>
  <c r="Q50" i="1"/>
  <c r="AF50" i="7" s="1"/>
  <c r="Y50" i="7" s="1"/>
  <c r="Q45" i="1"/>
  <c r="AF45" i="7" s="1"/>
  <c r="S45" i="7" s="1"/>
  <c r="Q40" i="1"/>
  <c r="AF40" i="7" s="1"/>
  <c r="AA40" i="7" s="1"/>
  <c r="B39" i="6"/>
  <c r="Q63" i="1"/>
  <c r="AF63" i="7" s="1"/>
  <c r="Y63" i="7" s="1"/>
  <c r="Q29" i="1"/>
  <c r="AF29" i="7" s="1"/>
  <c r="U29" i="7" s="1"/>
  <c r="B28" i="6"/>
  <c r="Q21" i="1"/>
  <c r="AF21" i="7" s="1"/>
  <c r="B20" i="6"/>
  <c r="Q61" i="1"/>
  <c r="AF61" i="7" s="1"/>
  <c r="Q15" i="1"/>
  <c r="AF15" i="7" s="1"/>
  <c r="Q10" i="1"/>
  <c r="Q59" i="1"/>
  <c r="AF59" i="7" s="1"/>
  <c r="Z59" i="7" s="1"/>
  <c r="B58" i="6"/>
  <c r="B55" i="6"/>
  <c r="B52" i="6"/>
  <c r="B54" i="6"/>
  <c r="AG50" i="6" l="1"/>
  <c r="S50" i="7"/>
  <c r="U21" i="7"/>
  <c r="AA15" i="7"/>
  <c r="F15" i="7"/>
  <c r="P15" i="7"/>
  <c r="U15" i="7"/>
  <c r="D15" i="7"/>
  <c r="S15" i="7"/>
  <c r="T15" i="7"/>
  <c r="R15" i="7"/>
  <c r="W15" i="7"/>
  <c r="X15" i="7"/>
  <c r="Q15" i="7"/>
  <c r="Z15" i="7"/>
  <c r="F40" i="7"/>
  <c r="Q40" i="7"/>
  <c r="R40" i="7"/>
  <c r="T40" i="7"/>
  <c r="V40" i="7"/>
  <c r="D40" i="7"/>
  <c r="S40" i="7"/>
  <c r="U40" i="7"/>
  <c r="P40" i="7"/>
  <c r="W40" i="7"/>
  <c r="X40" i="7"/>
  <c r="Y40" i="7"/>
  <c r="Z40" i="7"/>
  <c r="AH66" i="6"/>
  <c r="AF66" i="7"/>
  <c r="W29" i="7"/>
  <c r="Y15" i="7"/>
  <c r="AA21" i="7"/>
  <c r="Y21" i="7"/>
  <c r="Z21" i="7"/>
  <c r="Q21" i="7"/>
  <c r="T21" i="7"/>
  <c r="V21" i="7"/>
  <c r="D21" i="7"/>
  <c r="P21" i="7"/>
  <c r="X21" i="7"/>
  <c r="F21" i="7"/>
  <c r="R21" i="7"/>
  <c r="S21" i="7"/>
  <c r="Q68" i="1"/>
  <c r="AF68" i="7" s="1"/>
  <c r="D68" i="6"/>
  <c r="AG68" i="6" s="1"/>
  <c r="AA61" i="7"/>
  <c r="Y61" i="7"/>
  <c r="D61" i="7"/>
  <c r="U61" i="7"/>
  <c r="W61" i="7"/>
  <c r="F61" i="7"/>
  <c r="T61" i="7"/>
  <c r="R61" i="7"/>
  <c r="Z61" i="7"/>
  <c r="Q61" i="7"/>
  <c r="X61" i="7"/>
  <c r="V61" i="7"/>
  <c r="AA45" i="7"/>
  <c r="Z45" i="7"/>
  <c r="Y45" i="7"/>
  <c r="D45" i="7"/>
  <c r="U45" i="7"/>
  <c r="W45" i="7"/>
  <c r="F45" i="7"/>
  <c r="T45" i="7"/>
  <c r="R45" i="7"/>
  <c r="Q45" i="7"/>
  <c r="X45" i="7"/>
  <c r="V45" i="7"/>
  <c r="AF67" i="7"/>
  <c r="AH67" i="6"/>
  <c r="AF72" i="7"/>
  <c r="AH72" i="6"/>
  <c r="P45" i="7"/>
  <c r="S61" i="7"/>
  <c r="V15" i="7"/>
  <c r="AA51" i="7"/>
  <c r="S51" i="7"/>
  <c r="U51" i="7"/>
  <c r="D51" i="7"/>
  <c r="E51" i="7" s="1"/>
  <c r="G51" i="7" s="1"/>
  <c r="W51" i="7"/>
  <c r="T51" i="7"/>
  <c r="Q51" i="7"/>
  <c r="X51" i="7"/>
  <c r="P51" i="7"/>
  <c r="R51" i="7"/>
  <c r="F51" i="7"/>
  <c r="V51" i="7"/>
  <c r="Y51" i="7"/>
  <c r="AA29" i="7"/>
  <c r="Y29" i="7"/>
  <c r="Z29" i="7"/>
  <c r="Q29" i="7"/>
  <c r="T29" i="7"/>
  <c r="V29" i="7"/>
  <c r="P29" i="7"/>
  <c r="X29" i="7"/>
  <c r="D29" i="7"/>
  <c r="R29" i="7"/>
  <c r="S29" i="7"/>
  <c r="AA59" i="7"/>
  <c r="F59" i="7"/>
  <c r="S59" i="7"/>
  <c r="U59" i="7"/>
  <c r="D59" i="7"/>
  <c r="W59" i="7"/>
  <c r="T59" i="7"/>
  <c r="Q59" i="7"/>
  <c r="X59" i="7"/>
  <c r="P59" i="7"/>
  <c r="R59" i="7"/>
  <c r="Y59" i="7"/>
  <c r="V59" i="7"/>
  <c r="AA63" i="7"/>
  <c r="P63" i="7"/>
  <c r="V63" i="7"/>
  <c r="F63" i="7"/>
  <c r="S63" i="7"/>
  <c r="U63" i="7"/>
  <c r="W63" i="7"/>
  <c r="R63" i="7"/>
  <c r="D63" i="7"/>
  <c r="T63" i="7"/>
  <c r="Q63" i="7"/>
  <c r="X63" i="7"/>
  <c r="Z63" i="7"/>
  <c r="AA50" i="7"/>
  <c r="Z50" i="7"/>
  <c r="Q50" i="7"/>
  <c r="V50" i="7"/>
  <c r="W50" i="7"/>
  <c r="P50" i="7"/>
  <c r="U50" i="7"/>
  <c r="F50" i="7"/>
  <c r="T50" i="7"/>
  <c r="D50" i="7"/>
  <c r="E50" i="7" s="1"/>
  <c r="G50" i="7" s="1"/>
  <c r="R50" i="7"/>
  <c r="A15" i="1"/>
  <c r="AB14" i="7"/>
  <c r="AH68" i="6"/>
  <c r="X50" i="7"/>
  <c r="Z51" i="7"/>
  <c r="W21" i="7"/>
  <c r="F29" i="7"/>
  <c r="P61" i="7"/>
  <c r="AG65" i="6"/>
  <c r="AH51" i="6"/>
  <c r="AG51" i="6"/>
  <c r="AH50" i="6"/>
  <c r="AH65" i="6"/>
  <c r="AG49" i="6"/>
  <c r="AH49" i="6"/>
  <c r="B16" i="6"/>
  <c r="AG16" i="6" s="1"/>
  <c r="AG52" i="6"/>
  <c r="AG54" i="6"/>
  <c r="AG55" i="6"/>
  <c r="AG58" i="6"/>
  <c r="D44" i="6"/>
  <c r="D36" i="6"/>
  <c r="D28" i="6"/>
  <c r="D20" i="6"/>
  <c r="AG20" i="6" s="1"/>
  <c r="B56" i="6"/>
  <c r="B40" i="6"/>
  <c r="D39" i="6"/>
  <c r="D27" i="6"/>
  <c r="D19" i="6"/>
  <c r="B63" i="6"/>
  <c r="B59" i="6"/>
  <c r="B19" i="6"/>
  <c r="B15" i="6"/>
  <c r="B53" i="6"/>
  <c r="D34" i="6"/>
  <c r="D14" i="6"/>
  <c r="B61" i="6"/>
  <c r="B45" i="6"/>
  <c r="B29" i="6"/>
  <c r="B21" i="6"/>
  <c r="Q11" i="1"/>
  <c r="Q39" i="1"/>
  <c r="AF39" i="7" s="1"/>
  <c r="Q28" i="1"/>
  <c r="AF28" i="7" s="1"/>
  <c r="Q19" i="1"/>
  <c r="AF19" i="7" s="1"/>
  <c r="Q20" i="1"/>
  <c r="Q16" i="1"/>
  <c r="Q13" i="1"/>
  <c r="Q12" i="1"/>
  <c r="Q9" i="1"/>
  <c r="Q8" i="1"/>
  <c r="A11" i="7"/>
  <c r="A12" i="7"/>
  <c r="A13" i="7"/>
  <c r="B11" i="7"/>
  <c r="B12" i="7"/>
  <c r="B13" i="7"/>
  <c r="C11" i="7"/>
  <c r="C12" i="7"/>
  <c r="C13" i="7"/>
  <c r="AC11" i="7"/>
  <c r="AC12" i="7"/>
  <c r="AC13" i="7"/>
  <c r="AD11" i="7"/>
  <c r="AD12" i="7"/>
  <c r="AE12" i="7" s="1"/>
  <c r="AD13" i="7"/>
  <c r="AE13" i="7" s="1"/>
  <c r="A11" i="6"/>
  <c r="A12" i="6"/>
  <c r="A13" i="6"/>
  <c r="C11" i="6"/>
  <c r="C12" i="6"/>
  <c r="C13" i="6"/>
  <c r="D11" i="6"/>
  <c r="D13" i="6"/>
  <c r="E11" i="6"/>
  <c r="E12" i="6"/>
  <c r="E13" i="6"/>
  <c r="Q56" i="1"/>
  <c r="AF56" i="7" s="1"/>
  <c r="Q55" i="1"/>
  <c r="AI65" i="6" l="1"/>
  <c r="AI49" i="6"/>
  <c r="Q69" i="1"/>
  <c r="AF69" i="7" s="1"/>
  <c r="B69" i="6"/>
  <c r="G67" i="6"/>
  <c r="AA67" i="7"/>
  <c r="Q67" i="7"/>
  <c r="R67" i="7"/>
  <c r="X67" i="7"/>
  <c r="F67" i="7"/>
  <c r="P67" i="7"/>
  <c r="V67" i="7"/>
  <c r="U67" i="7"/>
  <c r="D67" i="7"/>
  <c r="E67" i="7" s="1"/>
  <c r="G67" i="7" s="1"/>
  <c r="T67" i="7"/>
  <c r="S67" i="7"/>
  <c r="Y67" i="7"/>
  <c r="Z67" i="7"/>
  <c r="W67" i="7"/>
  <c r="Q71" i="1"/>
  <c r="AF71" i="7" s="1"/>
  <c r="B71" i="6"/>
  <c r="A16" i="1"/>
  <c r="AB15" i="7"/>
  <c r="E15" i="7" s="1"/>
  <c r="G15" i="7" s="1"/>
  <c r="AA19" i="7"/>
  <c r="F19" i="7"/>
  <c r="Q19" i="7"/>
  <c r="V19" i="7"/>
  <c r="P19" i="7"/>
  <c r="U19" i="7"/>
  <c r="D19" i="7"/>
  <c r="S19" i="7"/>
  <c r="T19" i="7"/>
  <c r="W19" i="7"/>
  <c r="X19" i="7"/>
  <c r="Y19" i="7"/>
  <c r="R19" i="7"/>
  <c r="Z19" i="7"/>
  <c r="AH55" i="6"/>
  <c r="AF55" i="7"/>
  <c r="AH20" i="6"/>
  <c r="AF20" i="7"/>
  <c r="F28" i="7"/>
  <c r="R28" i="7"/>
  <c r="W28" i="7"/>
  <c r="Q28" i="7"/>
  <c r="V28" i="7"/>
  <c r="D28" i="7"/>
  <c r="T28" i="7"/>
  <c r="U28" i="7"/>
  <c r="P28" i="7"/>
  <c r="S28" i="7"/>
  <c r="Y28" i="7"/>
  <c r="Z28" i="7"/>
  <c r="X28" i="7"/>
  <c r="AA28" i="7"/>
  <c r="Q70" i="1"/>
  <c r="AF70" i="7" s="1"/>
  <c r="B70" i="6"/>
  <c r="G68" i="6"/>
  <c r="G72" i="6"/>
  <c r="AA66" i="7"/>
  <c r="Z66" i="7"/>
  <c r="F66" i="7"/>
  <c r="V66" i="7"/>
  <c r="W66" i="7"/>
  <c r="Q66" i="7"/>
  <c r="U66" i="7"/>
  <c r="P66" i="7"/>
  <c r="T66" i="7"/>
  <c r="R66" i="7"/>
  <c r="S66" i="7"/>
  <c r="X66" i="7"/>
  <c r="D66" i="7"/>
  <c r="E66" i="7" s="1"/>
  <c r="G66" i="7" s="1"/>
  <c r="Y66" i="7"/>
  <c r="AH16" i="6"/>
  <c r="AF16" i="7"/>
  <c r="P56" i="7"/>
  <c r="W56" i="7"/>
  <c r="F56" i="7"/>
  <c r="Q56" i="7"/>
  <c r="R56" i="7"/>
  <c r="X56" i="7"/>
  <c r="T56" i="7"/>
  <c r="V56" i="7"/>
  <c r="D56" i="7"/>
  <c r="S56" i="7"/>
  <c r="Y56" i="7"/>
  <c r="U56" i="7"/>
  <c r="Z56" i="7"/>
  <c r="AA56" i="7"/>
  <c r="AA39" i="7"/>
  <c r="Q39" i="7"/>
  <c r="F39" i="7"/>
  <c r="P39" i="7"/>
  <c r="R39" i="7"/>
  <c r="X39" i="7"/>
  <c r="D39" i="7"/>
  <c r="V39" i="7"/>
  <c r="S39" i="7"/>
  <c r="U39" i="7"/>
  <c r="W39" i="7"/>
  <c r="Y39" i="7"/>
  <c r="T39" i="7"/>
  <c r="Z39" i="7"/>
  <c r="F72" i="7"/>
  <c r="T72" i="7"/>
  <c r="V72" i="7"/>
  <c r="P72" i="7"/>
  <c r="S72" i="7"/>
  <c r="U72" i="7"/>
  <c r="D72" i="7"/>
  <c r="E72" i="7" s="1"/>
  <c r="G72" i="7" s="1"/>
  <c r="W72" i="7"/>
  <c r="R72" i="7"/>
  <c r="X72" i="7"/>
  <c r="Y72" i="7"/>
  <c r="Q72" i="7"/>
  <c r="Z72" i="7"/>
  <c r="AA72" i="7"/>
  <c r="P68" i="7"/>
  <c r="W68" i="7"/>
  <c r="Q68" i="7"/>
  <c r="R68" i="7"/>
  <c r="F68" i="7"/>
  <c r="T68" i="7"/>
  <c r="V68" i="7"/>
  <c r="D68" i="7"/>
  <c r="S68" i="7"/>
  <c r="X68" i="7"/>
  <c r="Y68" i="7"/>
  <c r="U68" i="7"/>
  <c r="AA68" i="7"/>
  <c r="Z68" i="7"/>
  <c r="G66" i="6"/>
  <c r="G50" i="6"/>
  <c r="G51" i="6"/>
  <c r="Q14" i="1"/>
  <c r="AF14" i="7" s="1"/>
  <c r="B14" i="6"/>
  <c r="Q25" i="1"/>
  <c r="AF25" i="7" s="1"/>
  <c r="B25" i="6"/>
  <c r="Q33" i="1"/>
  <c r="AF33" i="7" s="1"/>
  <c r="B33" i="6"/>
  <c r="AG33" i="6" s="1"/>
  <c r="Q36" i="1"/>
  <c r="AF36" i="7" s="1"/>
  <c r="B36" i="6"/>
  <c r="B11" i="6"/>
  <c r="AG11" i="6" s="1"/>
  <c r="Q17" i="1"/>
  <c r="AF17" i="7" s="1"/>
  <c r="B17" i="6"/>
  <c r="Q23" i="1"/>
  <c r="AF23" i="7" s="1"/>
  <c r="B23" i="6"/>
  <c r="Q27" i="1"/>
  <c r="AF27" i="7" s="1"/>
  <c r="B27" i="6"/>
  <c r="Q62" i="1"/>
  <c r="AF62" i="7" s="1"/>
  <c r="B62" i="6"/>
  <c r="Q64" i="1"/>
  <c r="AF64" i="7" s="1"/>
  <c r="B64" i="6"/>
  <c r="Q47" i="1"/>
  <c r="AF47" i="7" s="1"/>
  <c r="B47" i="6"/>
  <c r="Q57" i="1"/>
  <c r="AF57" i="7" s="1"/>
  <c r="B57" i="6"/>
  <c r="Q18" i="1"/>
  <c r="AF18" i="7" s="1"/>
  <c r="B18" i="6"/>
  <c r="Q32" i="1"/>
  <c r="AF32" i="7" s="1"/>
  <c r="B32" i="6"/>
  <c r="Q35" i="1"/>
  <c r="AF35" i="7" s="1"/>
  <c r="B35" i="6"/>
  <c r="AG35" i="6" s="1"/>
  <c r="Q37" i="1"/>
  <c r="AF37" i="7" s="1"/>
  <c r="B37" i="6"/>
  <c r="AG37" i="6" s="1"/>
  <c r="Q43" i="1"/>
  <c r="AF43" i="7" s="1"/>
  <c r="B43" i="6"/>
  <c r="G20" i="6"/>
  <c r="Q44" i="1"/>
  <c r="AF44" i="7" s="1"/>
  <c r="B44" i="6"/>
  <c r="Q60" i="1"/>
  <c r="AF60" i="7" s="1"/>
  <c r="B60" i="6"/>
  <c r="Q24" i="1"/>
  <c r="AF24" i="7" s="1"/>
  <c r="B24" i="6"/>
  <c r="Q31" i="1"/>
  <c r="AF31" i="7" s="1"/>
  <c r="B31" i="6"/>
  <c r="Q34" i="1"/>
  <c r="AF34" i="7" s="1"/>
  <c r="B34" i="6"/>
  <c r="Q38" i="1"/>
  <c r="AF38" i="7" s="1"/>
  <c r="B38" i="6"/>
  <c r="AG38" i="6" s="1"/>
  <c r="Q42" i="1"/>
  <c r="AF42" i="7" s="1"/>
  <c r="B42" i="6"/>
  <c r="Q48" i="1"/>
  <c r="AF48" i="7" s="1"/>
  <c r="B48" i="6"/>
  <c r="AH39" i="6"/>
  <c r="AH28" i="6"/>
  <c r="AG61" i="6"/>
  <c r="AH61" i="6"/>
  <c r="B30" i="6"/>
  <c r="Q30" i="1"/>
  <c r="AF30" i="7" s="1"/>
  <c r="AH19" i="6"/>
  <c r="AG19" i="6"/>
  <c r="B46" i="6"/>
  <c r="Q46" i="1"/>
  <c r="AF46" i="7" s="1"/>
  <c r="AG28" i="6"/>
  <c r="AG39" i="6"/>
  <c r="AG21" i="6"/>
  <c r="AH21" i="6"/>
  <c r="B41" i="6"/>
  <c r="AG41" i="6" s="1"/>
  <c r="Q41" i="1"/>
  <c r="AF41" i="7" s="1"/>
  <c r="AG53" i="6"/>
  <c r="AH59" i="6"/>
  <c r="AG59" i="6"/>
  <c r="B22" i="6"/>
  <c r="AG22" i="6" s="1"/>
  <c r="Q22" i="1"/>
  <c r="AF22" i="7" s="1"/>
  <c r="AG29" i="6"/>
  <c r="AH29" i="6"/>
  <c r="AG63" i="6"/>
  <c r="AH63" i="6"/>
  <c r="AG40" i="6"/>
  <c r="AH40" i="6"/>
  <c r="AG45" i="6"/>
  <c r="AH45" i="6"/>
  <c r="AG15" i="6"/>
  <c r="AH15" i="6"/>
  <c r="AH56" i="6"/>
  <c r="AG56" i="6"/>
  <c r="AE11" i="7"/>
  <c r="B13" i="6"/>
  <c r="AG13" i="6" s="1"/>
  <c r="B12" i="6"/>
  <c r="AF11" i="7"/>
  <c r="R11" i="7" s="1"/>
  <c r="AF12" i="7"/>
  <c r="F12" i="7" s="1"/>
  <c r="D12" i="6"/>
  <c r="A10" i="7"/>
  <c r="B10" i="7"/>
  <c r="C10" i="7"/>
  <c r="AC10" i="7"/>
  <c r="AD10" i="7"/>
  <c r="Q54" i="1"/>
  <c r="Q52" i="1"/>
  <c r="A10" i="6"/>
  <c r="B10" i="6"/>
  <c r="C10" i="6"/>
  <c r="D10" i="6"/>
  <c r="E10" i="6"/>
  <c r="AH11" i="6" l="1"/>
  <c r="AH54" i="6"/>
  <c r="G54" i="6" s="1"/>
  <c r="AF54" i="7"/>
  <c r="AA42" i="7"/>
  <c r="Z42" i="7"/>
  <c r="F42" i="7"/>
  <c r="V42" i="7"/>
  <c r="W42" i="7"/>
  <c r="Q42" i="7"/>
  <c r="U42" i="7"/>
  <c r="P42" i="7"/>
  <c r="T42" i="7"/>
  <c r="S42" i="7"/>
  <c r="D42" i="7"/>
  <c r="Y42" i="7"/>
  <c r="R42" i="7"/>
  <c r="X42" i="7"/>
  <c r="Q24" i="7"/>
  <c r="V24" i="7"/>
  <c r="D24" i="7"/>
  <c r="T24" i="7"/>
  <c r="U24" i="7"/>
  <c r="X24" i="7"/>
  <c r="P24" i="7"/>
  <c r="S24" i="7"/>
  <c r="W24" i="7"/>
  <c r="F24" i="7"/>
  <c r="Y24" i="7"/>
  <c r="R24" i="7"/>
  <c r="Z24" i="7"/>
  <c r="AA24" i="7"/>
  <c r="AA23" i="7"/>
  <c r="Q23" i="7"/>
  <c r="V23" i="7"/>
  <c r="D23" i="7"/>
  <c r="P23" i="7"/>
  <c r="U23" i="7"/>
  <c r="S23" i="7"/>
  <c r="T23" i="7"/>
  <c r="R23" i="7"/>
  <c r="W23" i="7"/>
  <c r="Y23" i="7"/>
  <c r="X23" i="7"/>
  <c r="Z23" i="7"/>
  <c r="F23" i="7"/>
  <c r="AA41" i="7"/>
  <c r="Y41" i="7"/>
  <c r="F41" i="7"/>
  <c r="U41" i="7"/>
  <c r="W41" i="7"/>
  <c r="T41" i="7"/>
  <c r="R41" i="7"/>
  <c r="Q41" i="7"/>
  <c r="X41" i="7"/>
  <c r="V41" i="7"/>
  <c r="P41" i="7"/>
  <c r="S41" i="7"/>
  <c r="Z41" i="7"/>
  <c r="D41" i="7"/>
  <c r="AA43" i="7"/>
  <c r="Q43" i="7"/>
  <c r="R43" i="7"/>
  <c r="X43" i="7"/>
  <c r="P43" i="7"/>
  <c r="V43" i="7"/>
  <c r="S43" i="7"/>
  <c r="W43" i="7"/>
  <c r="F43" i="7"/>
  <c r="U43" i="7"/>
  <c r="T43" i="7"/>
  <c r="Y43" i="7"/>
  <c r="D43" i="7"/>
  <c r="Z43" i="7"/>
  <c r="AA35" i="7"/>
  <c r="Q35" i="7"/>
  <c r="R35" i="7"/>
  <c r="X35" i="7"/>
  <c r="F35" i="7"/>
  <c r="P35" i="7"/>
  <c r="V35" i="7"/>
  <c r="S35" i="7"/>
  <c r="U35" i="7"/>
  <c r="W35" i="7"/>
  <c r="T35" i="7"/>
  <c r="Y35" i="7"/>
  <c r="D35" i="7"/>
  <c r="Z35" i="7"/>
  <c r="AA18" i="7"/>
  <c r="Z18" i="7"/>
  <c r="D18" i="7"/>
  <c r="P18" i="7"/>
  <c r="X18" i="7"/>
  <c r="R18" i="7"/>
  <c r="V18" i="7"/>
  <c r="S18" i="7"/>
  <c r="F18" i="7"/>
  <c r="U18" i="7"/>
  <c r="W18" i="7"/>
  <c r="Y18" i="7"/>
  <c r="Q18" i="7"/>
  <c r="T18" i="7"/>
  <c r="T36" i="7"/>
  <c r="V36" i="7"/>
  <c r="D36" i="7"/>
  <c r="S36" i="7"/>
  <c r="U36" i="7"/>
  <c r="P36" i="7"/>
  <c r="W36" i="7"/>
  <c r="R36" i="7"/>
  <c r="F36" i="7"/>
  <c r="X36" i="7"/>
  <c r="AA36" i="7"/>
  <c r="Q36" i="7"/>
  <c r="Z36" i="7"/>
  <c r="Y36" i="7"/>
  <c r="D20" i="7"/>
  <c r="T20" i="7"/>
  <c r="U20" i="7"/>
  <c r="P20" i="7"/>
  <c r="S20" i="7"/>
  <c r="F20" i="7"/>
  <c r="R20" i="7"/>
  <c r="W20" i="7"/>
  <c r="Q20" i="7"/>
  <c r="Y20" i="7"/>
  <c r="V20" i="7"/>
  <c r="X20" i="7"/>
  <c r="AA20" i="7"/>
  <c r="Z20" i="7"/>
  <c r="A17" i="1"/>
  <c r="AB16" i="7"/>
  <c r="AG69" i="6"/>
  <c r="AH69" i="6"/>
  <c r="X22" i="7"/>
  <c r="Z22" i="7"/>
  <c r="AA22" i="7"/>
  <c r="D22" i="7"/>
  <c r="F22" i="7"/>
  <c r="R22" i="7"/>
  <c r="U22" i="7"/>
  <c r="Q22" i="7"/>
  <c r="T22" i="7"/>
  <c r="P22" i="7"/>
  <c r="S22" i="7"/>
  <c r="V22" i="7"/>
  <c r="Y22" i="7"/>
  <c r="W22" i="7"/>
  <c r="AA34" i="7"/>
  <c r="Z34" i="7"/>
  <c r="Q34" i="7"/>
  <c r="V34" i="7"/>
  <c r="W34" i="7"/>
  <c r="F34" i="7"/>
  <c r="U34" i="7"/>
  <c r="P34" i="7"/>
  <c r="T34" i="7"/>
  <c r="R34" i="7"/>
  <c r="S34" i="7"/>
  <c r="D34" i="7"/>
  <c r="Y34" i="7"/>
  <c r="X34" i="7"/>
  <c r="AA47" i="7"/>
  <c r="D47" i="7"/>
  <c r="W47" i="7"/>
  <c r="T47" i="7"/>
  <c r="Q47" i="7"/>
  <c r="R47" i="7"/>
  <c r="X47" i="7"/>
  <c r="V47" i="7"/>
  <c r="F47" i="7"/>
  <c r="U47" i="7"/>
  <c r="P47" i="7"/>
  <c r="S47" i="7"/>
  <c r="Z47" i="7"/>
  <c r="Y47" i="7"/>
  <c r="AA14" i="7"/>
  <c r="Z14" i="7"/>
  <c r="F14" i="7"/>
  <c r="V14" i="7"/>
  <c r="S14" i="7"/>
  <c r="R14" i="7"/>
  <c r="U14" i="7"/>
  <c r="W14" i="7"/>
  <c r="Q14" i="7"/>
  <c r="T14" i="7"/>
  <c r="D14" i="7"/>
  <c r="E14" i="7" s="1"/>
  <c r="G14" i="7" s="1"/>
  <c r="P14" i="7"/>
  <c r="X14" i="7"/>
  <c r="Y14" i="7"/>
  <c r="G16" i="6"/>
  <c r="D48" i="7"/>
  <c r="S48" i="7"/>
  <c r="U48" i="7"/>
  <c r="P48" i="7"/>
  <c r="W48" i="7"/>
  <c r="F48" i="7"/>
  <c r="Q48" i="7"/>
  <c r="R48" i="7"/>
  <c r="X48" i="7"/>
  <c r="V48" i="7"/>
  <c r="Y48" i="7"/>
  <c r="Z48" i="7"/>
  <c r="T48" i="7"/>
  <c r="AA48" i="7"/>
  <c r="X38" i="7"/>
  <c r="Z38" i="7"/>
  <c r="P38" i="7"/>
  <c r="T38" i="7"/>
  <c r="D38" i="7"/>
  <c r="R38" i="7"/>
  <c r="S38" i="7"/>
  <c r="F38" i="7"/>
  <c r="V38" i="7"/>
  <c r="W38" i="7"/>
  <c r="AA38" i="7"/>
  <c r="Q38" i="7"/>
  <c r="U38" i="7"/>
  <c r="Y38" i="7"/>
  <c r="AA31" i="7"/>
  <c r="Q31" i="7"/>
  <c r="V31" i="7"/>
  <c r="F31" i="7"/>
  <c r="P31" i="7"/>
  <c r="U31" i="7"/>
  <c r="D31" i="7"/>
  <c r="S31" i="7"/>
  <c r="T31" i="7"/>
  <c r="X31" i="7"/>
  <c r="R31" i="7"/>
  <c r="Z31" i="7"/>
  <c r="Y31" i="7"/>
  <c r="W31" i="7"/>
  <c r="D60" i="7"/>
  <c r="S60" i="7"/>
  <c r="U60" i="7"/>
  <c r="P60" i="7"/>
  <c r="W60" i="7"/>
  <c r="F60" i="7"/>
  <c r="Q60" i="7"/>
  <c r="R60" i="7"/>
  <c r="V60" i="7"/>
  <c r="Y60" i="7"/>
  <c r="Z60" i="7"/>
  <c r="X60" i="7"/>
  <c r="T60" i="7"/>
  <c r="AA60" i="7"/>
  <c r="G55" i="6"/>
  <c r="F64" i="7"/>
  <c r="T64" i="7"/>
  <c r="V64" i="7"/>
  <c r="X64" i="7"/>
  <c r="D64" i="7"/>
  <c r="S64" i="7"/>
  <c r="U64" i="7"/>
  <c r="P64" i="7"/>
  <c r="W64" i="7"/>
  <c r="Q64" i="7"/>
  <c r="Y64" i="7"/>
  <c r="R64" i="7"/>
  <c r="Z64" i="7"/>
  <c r="AA64" i="7"/>
  <c r="AA27" i="7"/>
  <c r="F27" i="7"/>
  <c r="P27" i="7"/>
  <c r="U27" i="7"/>
  <c r="D27" i="7"/>
  <c r="S27" i="7"/>
  <c r="T27" i="7"/>
  <c r="R27" i="7"/>
  <c r="W27" i="7"/>
  <c r="X27" i="7"/>
  <c r="Y27" i="7"/>
  <c r="Q27" i="7"/>
  <c r="V27" i="7"/>
  <c r="Z27" i="7"/>
  <c r="AA17" i="7"/>
  <c r="Y17" i="7"/>
  <c r="Z17" i="7"/>
  <c r="Q17" i="7"/>
  <c r="T17" i="7"/>
  <c r="D17" i="7"/>
  <c r="P17" i="7"/>
  <c r="X17" i="7"/>
  <c r="F17" i="7"/>
  <c r="R17" i="7"/>
  <c r="S17" i="7"/>
  <c r="V17" i="7"/>
  <c r="W17" i="7"/>
  <c r="U17" i="7"/>
  <c r="AA25" i="7"/>
  <c r="Y25" i="7"/>
  <c r="Z25" i="7"/>
  <c r="Q25" i="7"/>
  <c r="T25" i="7"/>
  <c r="V25" i="7"/>
  <c r="D25" i="7"/>
  <c r="P25" i="7"/>
  <c r="X25" i="7"/>
  <c r="F25" i="7"/>
  <c r="R25" i="7"/>
  <c r="S25" i="7"/>
  <c r="U25" i="7"/>
  <c r="W25" i="7"/>
  <c r="AH70" i="6"/>
  <c r="AG70" i="6"/>
  <c r="AG71" i="6"/>
  <c r="AH71" i="6"/>
  <c r="AA69" i="7"/>
  <c r="Y69" i="7"/>
  <c r="Z69" i="7"/>
  <c r="P69" i="7"/>
  <c r="S69" i="7"/>
  <c r="F69" i="7"/>
  <c r="U69" i="7"/>
  <c r="W69" i="7"/>
  <c r="T69" i="7"/>
  <c r="R69" i="7"/>
  <c r="D69" i="7"/>
  <c r="Q69" i="7"/>
  <c r="X69" i="7"/>
  <c r="V69" i="7"/>
  <c r="P44" i="7"/>
  <c r="W44" i="7"/>
  <c r="F44" i="7"/>
  <c r="Q44" i="7"/>
  <c r="R44" i="7"/>
  <c r="T44" i="7"/>
  <c r="V44" i="7"/>
  <c r="D44" i="7"/>
  <c r="Y44" i="7"/>
  <c r="S44" i="7"/>
  <c r="Z44" i="7"/>
  <c r="U44" i="7"/>
  <c r="AA44" i="7"/>
  <c r="X44" i="7"/>
  <c r="X62" i="7"/>
  <c r="Z62" i="7"/>
  <c r="AA62" i="7"/>
  <c r="P62" i="7"/>
  <c r="T62" i="7"/>
  <c r="D62" i="7"/>
  <c r="R62" i="7"/>
  <c r="S62" i="7"/>
  <c r="F62" i="7"/>
  <c r="V62" i="7"/>
  <c r="W62" i="7"/>
  <c r="Q62" i="7"/>
  <c r="U62" i="7"/>
  <c r="Y62" i="7"/>
  <c r="AH52" i="6"/>
  <c r="AF52" i="7"/>
  <c r="X46" i="7"/>
  <c r="Z46" i="7"/>
  <c r="P46" i="7"/>
  <c r="T46" i="7"/>
  <c r="D46" i="7"/>
  <c r="R46" i="7"/>
  <c r="S46" i="7"/>
  <c r="AA46" i="7"/>
  <c r="F46" i="7"/>
  <c r="V46" i="7"/>
  <c r="W46" i="7"/>
  <c r="Q46" i="7"/>
  <c r="U46" i="7"/>
  <c r="Y46" i="7"/>
  <c r="X30" i="7"/>
  <c r="Z30" i="7"/>
  <c r="AA30" i="7"/>
  <c r="P30" i="7"/>
  <c r="T30" i="7"/>
  <c r="D30" i="7"/>
  <c r="V30" i="7"/>
  <c r="S30" i="7"/>
  <c r="F30" i="7"/>
  <c r="R30" i="7"/>
  <c r="W30" i="7"/>
  <c r="Q30" i="7"/>
  <c r="Y30" i="7"/>
  <c r="U30" i="7"/>
  <c r="AA37" i="7"/>
  <c r="Y37" i="7"/>
  <c r="Z37" i="7"/>
  <c r="F37" i="7"/>
  <c r="T37" i="7"/>
  <c r="R37" i="7"/>
  <c r="Q37" i="7"/>
  <c r="X37" i="7"/>
  <c r="V37" i="7"/>
  <c r="P37" i="7"/>
  <c r="S37" i="7"/>
  <c r="W37" i="7"/>
  <c r="D37" i="7"/>
  <c r="U37" i="7"/>
  <c r="P32" i="7"/>
  <c r="W32" i="7"/>
  <c r="X32" i="7"/>
  <c r="Q32" i="7"/>
  <c r="R32" i="7"/>
  <c r="F32" i="7"/>
  <c r="T32" i="7"/>
  <c r="V32" i="7"/>
  <c r="Y32" i="7"/>
  <c r="D32" i="7"/>
  <c r="S32" i="7"/>
  <c r="U32" i="7"/>
  <c r="Z32" i="7"/>
  <c r="AA32" i="7"/>
  <c r="AA57" i="7"/>
  <c r="Y57" i="7"/>
  <c r="Z57" i="7"/>
  <c r="F57" i="7"/>
  <c r="U57" i="7"/>
  <c r="W57" i="7"/>
  <c r="T57" i="7"/>
  <c r="R57" i="7"/>
  <c r="Q57" i="7"/>
  <c r="X57" i="7"/>
  <c r="V57" i="7"/>
  <c r="S57" i="7"/>
  <c r="D57" i="7"/>
  <c r="P57" i="7"/>
  <c r="AA33" i="7"/>
  <c r="Y33" i="7"/>
  <c r="Z33" i="7"/>
  <c r="T33" i="7"/>
  <c r="R33" i="7"/>
  <c r="Q33" i="7"/>
  <c r="X33" i="7"/>
  <c r="V33" i="7"/>
  <c r="D33" i="7"/>
  <c r="P33" i="7"/>
  <c r="S33" i="7"/>
  <c r="F33" i="7"/>
  <c r="U33" i="7"/>
  <c r="W33" i="7"/>
  <c r="R16" i="7"/>
  <c r="S16" i="7"/>
  <c r="F16" i="7"/>
  <c r="Q16" i="7"/>
  <c r="W16" i="7"/>
  <c r="D16" i="7"/>
  <c r="E16" i="7" s="1"/>
  <c r="T16" i="7"/>
  <c r="V16" i="7"/>
  <c r="P16" i="7"/>
  <c r="Y16" i="7"/>
  <c r="X16" i="7"/>
  <c r="U16" i="7"/>
  <c r="Z16" i="7"/>
  <c r="AA16" i="7"/>
  <c r="X70" i="7"/>
  <c r="Z70" i="7"/>
  <c r="P70" i="7"/>
  <c r="T70" i="7"/>
  <c r="D70" i="7"/>
  <c r="R70" i="7"/>
  <c r="S70" i="7"/>
  <c r="F70" i="7"/>
  <c r="V70" i="7"/>
  <c r="W70" i="7"/>
  <c r="AA70" i="7"/>
  <c r="Q70" i="7"/>
  <c r="U70" i="7"/>
  <c r="Y70" i="7"/>
  <c r="AA55" i="7"/>
  <c r="S55" i="7"/>
  <c r="U55" i="7"/>
  <c r="D55" i="7"/>
  <c r="W55" i="7"/>
  <c r="T55" i="7"/>
  <c r="R55" i="7"/>
  <c r="F55" i="7"/>
  <c r="V55" i="7"/>
  <c r="Q55" i="7"/>
  <c r="X55" i="7"/>
  <c r="Y55" i="7"/>
  <c r="Z55" i="7"/>
  <c r="P55" i="7"/>
  <c r="AA71" i="7"/>
  <c r="D71" i="7"/>
  <c r="Q71" i="7"/>
  <c r="R71" i="7"/>
  <c r="X71" i="7"/>
  <c r="F71" i="7"/>
  <c r="P71" i="7"/>
  <c r="V71" i="7"/>
  <c r="S71" i="7"/>
  <c r="W71" i="7"/>
  <c r="U71" i="7"/>
  <c r="Y71" i="7"/>
  <c r="T71" i="7"/>
  <c r="Z71" i="7"/>
  <c r="AH38" i="6"/>
  <c r="G15" i="6"/>
  <c r="G40" i="6"/>
  <c r="G29" i="6"/>
  <c r="AH41" i="6"/>
  <c r="G61" i="6"/>
  <c r="AH48" i="6"/>
  <c r="AG48" i="6"/>
  <c r="AG31" i="6"/>
  <c r="AH31" i="6"/>
  <c r="AH60" i="6"/>
  <c r="AG60" i="6"/>
  <c r="AH35" i="6"/>
  <c r="AH64" i="6"/>
  <c r="AG64" i="6"/>
  <c r="AG27" i="6"/>
  <c r="AH27" i="6"/>
  <c r="AG17" i="6"/>
  <c r="AH17" i="6"/>
  <c r="AG25" i="6"/>
  <c r="AH25" i="6"/>
  <c r="G59" i="6"/>
  <c r="G19" i="6"/>
  <c r="AG32" i="6"/>
  <c r="AH32" i="6"/>
  <c r="AH57" i="6"/>
  <c r="AG57" i="6"/>
  <c r="G45" i="6"/>
  <c r="G63" i="6"/>
  <c r="AH22" i="6"/>
  <c r="G21" i="6"/>
  <c r="G28" i="6"/>
  <c r="AH42" i="6"/>
  <c r="AG42" i="6"/>
  <c r="AG34" i="6"/>
  <c r="AH34" i="6"/>
  <c r="AH24" i="6"/>
  <c r="AG24" i="6"/>
  <c r="AH44" i="6"/>
  <c r="AG44" i="6"/>
  <c r="AH37" i="6"/>
  <c r="AG47" i="6"/>
  <c r="AH47" i="6"/>
  <c r="AG62" i="6"/>
  <c r="AH62" i="6"/>
  <c r="AG23" i="6"/>
  <c r="AH23" i="6"/>
  <c r="AH33" i="6"/>
  <c r="AG14" i="6"/>
  <c r="AH14" i="6"/>
  <c r="G56" i="6"/>
  <c r="AG46" i="6"/>
  <c r="AH46" i="6"/>
  <c r="AG30" i="6"/>
  <c r="AH30" i="6"/>
  <c r="G39" i="6"/>
  <c r="AH43" i="6"/>
  <c r="AG43" i="6"/>
  <c r="AH18" i="6"/>
  <c r="AG18" i="6"/>
  <c r="AH36" i="6"/>
  <c r="AG36" i="6"/>
  <c r="B26" i="6"/>
  <c r="AG26" i="6" s="1"/>
  <c r="Q26" i="1"/>
  <c r="AF26" i="7" s="1"/>
  <c r="AE10" i="7"/>
  <c r="AH12" i="6"/>
  <c r="AG12" i="6"/>
  <c r="P11" i="7"/>
  <c r="X11" i="7"/>
  <c r="AA11" i="7"/>
  <c r="V11" i="7"/>
  <c r="Q11" i="7"/>
  <c r="Y12" i="7"/>
  <c r="W12" i="7"/>
  <c r="D11" i="7"/>
  <c r="W11" i="7"/>
  <c r="U11" i="7"/>
  <c r="Q12" i="7"/>
  <c r="S11" i="7"/>
  <c r="F11" i="7"/>
  <c r="Z11" i="7"/>
  <c r="Y11" i="7"/>
  <c r="T11" i="7"/>
  <c r="T12" i="7"/>
  <c r="R12" i="7"/>
  <c r="Z12" i="7"/>
  <c r="D12" i="7"/>
  <c r="U12" i="7"/>
  <c r="P12" i="7"/>
  <c r="X12" i="7"/>
  <c r="S12" i="7"/>
  <c r="AA12" i="7"/>
  <c r="V12" i="7"/>
  <c r="G11" i="6"/>
  <c r="AG10" i="6"/>
  <c r="A8" i="6"/>
  <c r="B8" i="6"/>
  <c r="C8" i="6"/>
  <c r="D8" i="6"/>
  <c r="E8" i="6"/>
  <c r="A9" i="6"/>
  <c r="B9" i="6"/>
  <c r="C9" i="6"/>
  <c r="D9" i="6"/>
  <c r="E9" i="6"/>
  <c r="Q7" i="1"/>
  <c r="Q53" i="1"/>
  <c r="Q58" i="1"/>
  <c r="G38" i="6" l="1"/>
  <c r="G52" i="6"/>
  <c r="G70" i="6"/>
  <c r="G16" i="7"/>
  <c r="X54" i="7"/>
  <c r="Z54" i="7"/>
  <c r="P54" i="7"/>
  <c r="T54" i="7"/>
  <c r="AA54" i="7"/>
  <c r="D54" i="7"/>
  <c r="R54" i="7"/>
  <c r="S54" i="7"/>
  <c r="F54" i="7"/>
  <c r="V54" i="7"/>
  <c r="W54" i="7"/>
  <c r="U54" i="7"/>
  <c r="Q54" i="7"/>
  <c r="Y54" i="7"/>
  <c r="AH58" i="6"/>
  <c r="AF58" i="7"/>
  <c r="AA26" i="7"/>
  <c r="F26" i="7"/>
  <c r="V26" i="7"/>
  <c r="Z26" i="7"/>
  <c r="R26" i="7"/>
  <c r="U26" i="7"/>
  <c r="Q26" i="7"/>
  <c r="T26" i="7"/>
  <c r="D26" i="7"/>
  <c r="P26" i="7"/>
  <c r="S26" i="7"/>
  <c r="Y26" i="7"/>
  <c r="X26" i="7"/>
  <c r="W26" i="7"/>
  <c r="F52" i="7"/>
  <c r="T52" i="7"/>
  <c r="V52" i="7"/>
  <c r="D52" i="7"/>
  <c r="S52" i="7"/>
  <c r="U52" i="7"/>
  <c r="P52" i="7"/>
  <c r="W52" i="7"/>
  <c r="Q52" i="7"/>
  <c r="R52" i="7"/>
  <c r="Y52" i="7"/>
  <c r="X52" i="7"/>
  <c r="AA52" i="7"/>
  <c r="Z52" i="7"/>
  <c r="G71" i="6"/>
  <c r="G69" i="6"/>
  <c r="AH53" i="6"/>
  <c r="G53" i="6" s="1"/>
  <c r="AF53" i="7"/>
  <c r="A18" i="1"/>
  <c r="AB17" i="7"/>
  <c r="E17" i="7" s="1"/>
  <c r="G17" i="7" s="1"/>
  <c r="AH26" i="6"/>
  <c r="G32" i="6"/>
  <c r="G64" i="6"/>
  <c r="G31" i="6"/>
  <c r="G18" i="6"/>
  <c r="G46" i="6"/>
  <c r="G23" i="6"/>
  <c r="G47" i="6"/>
  <c r="G44" i="6"/>
  <c r="G25" i="6"/>
  <c r="G27" i="6"/>
  <c r="G35" i="6"/>
  <c r="G33" i="6"/>
  <c r="G34" i="6"/>
  <c r="G14" i="6"/>
  <c r="G22" i="6"/>
  <c r="G36" i="6"/>
  <c r="G43" i="6"/>
  <c r="G30" i="6"/>
  <c r="G62" i="6"/>
  <c r="G37" i="6"/>
  <c r="G24" i="6"/>
  <c r="G42" i="6"/>
  <c r="G57" i="6"/>
  <c r="G17" i="6"/>
  <c r="G60" i="6"/>
  <c r="G48" i="6"/>
  <c r="G41" i="6"/>
  <c r="G12" i="6"/>
  <c r="AH10" i="6"/>
  <c r="AF13" i="7"/>
  <c r="AH13" i="6"/>
  <c r="AF10" i="7"/>
  <c r="AG8" i="6"/>
  <c r="AG9" i="6"/>
  <c r="Q6" i="1"/>
  <c r="AH8" i="6"/>
  <c r="AH9" i="6"/>
  <c r="AD5" i="7"/>
  <c r="AD6" i="7"/>
  <c r="AD7" i="7"/>
  <c r="AD8" i="7"/>
  <c r="AD9" i="7"/>
  <c r="AC5" i="7"/>
  <c r="AC6" i="7"/>
  <c r="AC7" i="7"/>
  <c r="AC8" i="7"/>
  <c r="AC9" i="7"/>
  <c r="AB5" i="7"/>
  <c r="G58" i="6" l="1"/>
  <c r="G26" i="6"/>
  <c r="A19" i="1"/>
  <c r="AB18" i="7"/>
  <c r="E18" i="7" s="1"/>
  <c r="G18" i="7" s="1"/>
  <c r="AA53" i="7"/>
  <c r="Y53" i="7"/>
  <c r="Z53" i="7"/>
  <c r="P53" i="7"/>
  <c r="S53" i="7"/>
  <c r="F53" i="7"/>
  <c r="U53" i="7"/>
  <c r="W53" i="7"/>
  <c r="T53" i="7"/>
  <c r="R53" i="7"/>
  <c r="V53" i="7"/>
  <c r="D53" i="7"/>
  <c r="Q53" i="7"/>
  <c r="X53" i="7"/>
  <c r="AA58" i="7"/>
  <c r="F58" i="7"/>
  <c r="V58" i="7"/>
  <c r="W58" i="7"/>
  <c r="Q58" i="7"/>
  <c r="U58" i="7"/>
  <c r="P58" i="7"/>
  <c r="T58" i="7"/>
  <c r="D58" i="7"/>
  <c r="R58" i="7"/>
  <c r="S58" i="7"/>
  <c r="Y58" i="7"/>
  <c r="Z58" i="7"/>
  <c r="X58" i="7"/>
  <c r="G10" i="6"/>
  <c r="G9" i="6"/>
  <c r="G8" i="6"/>
  <c r="D5" i="6"/>
  <c r="D6" i="6"/>
  <c r="D7" i="6"/>
  <c r="B5" i="6"/>
  <c r="B6" i="6"/>
  <c r="B7" i="6"/>
  <c r="D1" i="7"/>
  <c r="D2" i="7"/>
  <c r="C9" i="7"/>
  <c r="B9" i="7"/>
  <c r="A9" i="7"/>
  <c r="C8" i="7"/>
  <c r="B8" i="7"/>
  <c r="A8" i="7"/>
  <c r="C7" i="7"/>
  <c r="B7" i="7"/>
  <c r="A7" i="7"/>
  <c r="C6" i="7"/>
  <c r="B6" i="7"/>
  <c r="A6" i="7"/>
  <c r="C5" i="7"/>
  <c r="B5" i="7"/>
  <c r="A5" i="7"/>
  <c r="H2" i="7"/>
  <c r="R1" i="7"/>
  <c r="H1" i="7"/>
  <c r="N1" i="6"/>
  <c r="J2" i="6"/>
  <c r="J1" i="6"/>
  <c r="D2" i="6"/>
  <c r="D1" i="6"/>
  <c r="H4" i="6"/>
  <c r="A5" i="6"/>
  <c r="C5" i="6"/>
  <c r="E5" i="6"/>
  <c r="A6" i="6"/>
  <c r="C6" i="6"/>
  <c r="E6" i="6"/>
  <c r="A7" i="6"/>
  <c r="C7" i="6"/>
  <c r="E7" i="6"/>
  <c r="H50" i="6" l="1"/>
  <c r="H72" i="6"/>
  <c r="H66" i="6"/>
  <c r="H67" i="6"/>
  <c r="H68" i="6"/>
  <c r="H51" i="6"/>
  <c r="H20" i="6"/>
  <c r="H16" i="6"/>
  <c r="H40" i="6"/>
  <c r="H52" i="6"/>
  <c r="H39" i="6"/>
  <c r="H55" i="6"/>
  <c r="H54" i="6"/>
  <c r="H38" i="6"/>
  <c r="H19" i="6"/>
  <c r="H28" i="6"/>
  <c r="H29" i="6"/>
  <c r="H11" i="6"/>
  <c r="H15" i="6"/>
  <c r="H61" i="6"/>
  <c r="H59" i="6"/>
  <c r="H21" i="6"/>
  <c r="H56" i="6"/>
  <c r="H45" i="6"/>
  <c r="H63" i="6"/>
  <c r="H69" i="6"/>
  <c r="H32" i="6"/>
  <c r="H53" i="6"/>
  <c r="H35" i="6"/>
  <c r="H43" i="6"/>
  <c r="H30" i="6"/>
  <c r="H23" i="6"/>
  <c r="H47" i="6"/>
  <c r="H25" i="6"/>
  <c r="H62" i="6"/>
  <c r="H42" i="6"/>
  <c r="H64" i="6"/>
  <c r="H31" i="6"/>
  <c r="H46" i="6"/>
  <c r="H27" i="6"/>
  <c r="H34" i="6"/>
  <c r="H22" i="6"/>
  <c r="H71" i="6"/>
  <c r="H44" i="6"/>
  <c r="H33" i="6"/>
  <c r="H48" i="6"/>
  <c r="H41" i="6"/>
  <c r="H26" i="6"/>
  <c r="H18" i="6"/>
  <c r="H14" i="6"/>
  <c r="H37" i="6"/>
  <c r="H57" i="6"/>
  <c r="H58" i="6"/>
  <c r="H24" i="6"/>
  <c r="H60" i="6"/>
  <c r="H70" i="6"/>
  <c r="H36" i="6"/>
  <c r="H17" i="6"/>
  <c r="H12" i="6"/>
  <c r="A20" i="1"/>
  <c r="AB19" i="7"/>
  <c r="E19" i="7" s="1"/>
  <c r="G19" i="7" s="1"/>
  <c r="H8" i="6"/>
  <c r="H9" i="6"/>
  <c r="H10" i="6"/>
  <c r="I4" i="6"/>
  <c r="AE7" i="7"/>
  <c r="AH7" i="6"/>
  <c r="AF6" i="7"/>
  <c r="D6" i="7" s="1"/>
  <c r="AE5" i="7"/>
  <c r="AH5" i="6"/>
  <c r="AE9" i="7"/>
  <c r="AE8" i="7"/>
  <c r="AE6" i="7"/>
  <c r="AB6" i="7"/>
  <c r="AG6" i="6"/>
  <c r="AG7" i="6"/>
  <c r="AG5" i="6"/>
  <c r="A21" i="1" l="1"/>
  <c r="AB20" i="7"/>
  <c r="E20" i="7" s="1"/>
  <c r="G20" i="7" s="1"/>
  <c r="I72" i="6"/>
  <c r="I20" i="6"/>
  <c r="I50" i="6"/>
  <c r="I51" i="6"/>
  <c r="I68" i="6"/>
  <c r="I66" i="6"/>
  <c r="I67" i="6"/>
  <c r="I16" i="6"/>
  <c r="I55" i="6"/>
  <c r="I15" i="6"/>
  <c r="I29" i="6"/>
  <c r="I61" i="6"/>
  <c r="I45" i="6"/>
  <c r="I21" i="6"/>
  <c r="I54" i="6"/>
  <c r="I40" i="6"/>
  <c r="I19" i="6"/>
  <c r="I63" i="6"/>
  <c r="I28" i="6"/>
  <c r="I12" i="6"/>
  <c r="I52" i="6"/>
  <c r="I39" i="6"/>
  <c r="I38" i="6"/>
  <c r="I59" i="6"/>
  <c r="I56" i="6"/>
  <c r="I11" i="6"/>
  <c r="I71" i="6"/>
  <c r="I70" i="6"/>
  <c r="I32" i="6"/>
  <c r="I22" i="6"/>
  <c r="I36" i="6"/>
  <c r="I30" i="6"/>
  <c r="I69" i="6"/>
  <c r="I53" i="6"/>
  <c r="I46" i="6"/>
  <c r="I44" i="6"/>
  <c r="I62" i="6"/>
  <c r="I64" i="6"/>
  <c r="I18" i="6"/>
  <c r="I35" i="6"/>
  <c r="I34" i="6"/>
  <c r="I23" i="6"/>
  <c r="I43" i="6"/>
  <c r="I48" i="6"/>
  <c r="I17" i="6"/>
  <c r="I60" i="6"/>
  <c r="I37" i="6"/>
  <c r="I24" i="6"/>
  <c r="I42" i="6"/>
  <c r="I41" i="6"/>
  <c r="I58" i="6"/>
  <c r="I31" i="6"/>
  <c r="I47" i="6"/>
  <c r="I25" i="6"/>
  <c r="I27" i="6"/>
  <c r="I33" i="6"/>
  <c r="I14" i="6"/>
  <c r="I57" i="6"/>
  <c r="I26" i="6"/>
  <c r="I10" i="6"/>
  <c r="I9" i="6"/>
  <c r="I8" i="6"/>
  <c r="L72" i="7"/>
  <c r="K72" i="7"/>
  <c r="O68" i="7"/>
  <c r="I64" i="7"/>
  <c r="M60" i="7"/>
  <c r="N60" i="7"/>
  <c r="H56" i="7"/>
  <c r="O56" i="7"/>
  <c r="K52" i="7"/>
  <c r="M48" i="7"/>
  <c r="O48" i="7"/>
  <c r="M44" i="7"/>
  <c r="H44" i="7"/>
  <c r="H40" i="7"/>
  <c r="O40" i="7"/>
  <c r="M36" i="7"/>
  <c r="K36" i="7"/>
  <c r="M28" i="7"/>
  <c r="O28" i="7"/>
  <c r="H24" i="7"/>
  <c r="O24" i="7"/>
  <c r="M20" i="7"/>
  <c r="K20" i="7"/>
  <c r="L71" i="7"/>
  <c r="N71" i="7"/>
  <c r="I67" i="7"/>
  <c r="K67" i="7"/>
  <c r="H63" i="7"/>
  <c r="L63" i="7"/>
  <c r="N63" i="7"/>
  <c r="M59" i="7"/>
  <c r="O59" i="7"/>
  <c r="M55" i="7"/>
  <c r="N55" i="7"/>
  <c r="H51" i="7"/>
  <c r="K51" i="7"/>
  <c r="L47" i="7"/>
  <c r="N47" i="7"/>
  <c r="I43" i="7"/>
  <c r="M43" i="7"/>
  <c r="O43" i="7"/>
  <c r="M39" i="7"/>
  <c r="N39" i="7"/>
  <c r="H35" i="7"/>
  <c r="K35" i="7"/>
  <c r="L31" i="7"/>
  <c r="N31" i="7"/>
  <c r="I27" i="7"/>
  <c r="M27" i="7"/>
  <c r="O27" i="7"/>
  <c r="M23" i="7"/>
  <c r="J23" i="7"/>
  <c r="H19" i="7"/>
  <c r="K19" i="7"/>
  <c r="J19" i="7"/>
  <c r="L15" i="7"/>
  <c r="N15" i="7"/>
  <c r="H70" i="7"/>
  <c r="K70" i="7"/>
  <c r="M70" i="7"/>
  <c r="H66" i="7"/>
  <c r="J66" i="7"/>
  <c r="M66" i="7"/>
  <c r="H62" i="7"/>
  <c r="H58" i="7"/>
  <c r="K58" i="7"/>
  <c r="I58" i="7"/>
  <c r="H54" i="7"/>
  <c r="L54" i="7"/>
  <c r="H50" i="7"/>
  <c r="K50" i="7"/>
  <c r="M50" i="7"/>
  <c r="H46" i="7"/>
  <c r="M46" i="7"/>
  <c r="H42" i="7"/>
  <c r="N42" i="7"/>
  <c r="H38" i="7"/>
  <c r="K38" i="7"/>
  <c r="H34" i="7"/>
  <c r="K34" i="7"/>
  <c r="K30" i="7"/>
  <c r="M30" i="7"/>
  <c r="N26" i="7"/>
  <c r="O26" i="7"/>
  <c r="L22" i="7"/>
  <c r="O22" i="7"/>
  <c r="K18" i="7"/>
  <c r="O18" i="7"/>
  <c r="I14" i="7"/>
  <c r="L14" i="7"/>
  <c r="N14" i="7"/>
  <c r="H69" i="7"/>
  <c r="M69" i="7"/>
  <c r="N69" i="7"/>
  <c r="M61" i="7"/>
  <c r="L61" i="7"/>
  <c r="L57" i="7"/>
  <c r="H53" i="7"/>
  <c r="L53" i="7"/>
  <c r="N53" i="7"/>
  <c r="M45" i="7"/>
  <c r="O45" i="7"/>
  <c r="H37" i="7"/>
  <c r="L37" i="7"/>
  <c r="N37" i="7"/>
  <c r="L33" i="7"/>
  <c r="M29" i="7"/>
  <c r="L29" i="7"/>
  <c r="J25" i="7"/>
  <c r="L25" i="7"/>
  <c r="H21" i="7"/>
  <c r="K21" i="7"/>
  <c r="L21" i="7"/>
  <c r="N21" i="7"/>
  <c r="I17" i="7"/>
  <c r="L17" i="7"/>
  <c r="O14" i="7"/>
  <c r="K61" i="7"/>
  <c r="J72" i="7"/>
  <c r="N72" i="7"/>
  <c r="J68" i="7"/>
  <c r="L68" i="7"/>
  <c r="N68" i="7"/>
  <c r="H64" i="7"/>
  <c r="M64" i="7"/>
  <c r="O64" i="7"/>
  <c r="L60" i="7"/>
  <c r="H60" i="7"/>
  <c r="J56" i="7"/>
  <c r="L56" i="7"/>
  <c r="K56" i="7"/>
  <c r="J52" i="7"/>
  <c r="I52" i="7"/>
  <c r="O52" i="7"/>
  <c r="H48" i="7"/>
  <c r="L48" i="7"/>
  <c r="N48" i="7"/>
  <c r="I44" i="7"/>
  <c r="L44" i="7"/>
  <c r="N44" i="7"/>
  <c r="I40" i="7"/>
  <c r="L40" i="7"/>
  <c r="K40" i="7"/>
  <c r="I36" i="7"/>
  <c r="O36" i="7"/>
  <c r="I32" i="7"/>
  <c r="M32" i="7"/>
  <c r="O32" i="7"/>
  <c r="I28" i="7"/>
  <c r="L28" i="7"/>
  <c r="N28" i="7"/>
  <c r="I24" i="7"/>
  <c r="L24" i="7"/>
  <c r="K24" i="7"/>
  <c r="I20" i="7"/>
  <c r="O20" i="7"/>
  <c r="I16" i="7"/>
  <c r="M16" i="7"/>
  <c r="O16" i="7"/>
  <c r="K71" i="7"/>
  <c r="M71" i="7"/>
  <c r="M67" i="7"/>
  <c r="O67" i="7"/>
  <c r="I63" i="7"/>
  <c r="K63" i="7"/>
  <c r="H59" i="7"/>
  <c r="L59" i="7"/>
  <c r="N59" i="7"/>
  <c r="I55" i="7"/>
  <c r="L55" i="7"/>
  <c r="M51" i="7"/>
  <c r="O51" i="7"/>
  <c r="H47" i="7"/>
  <c r="K47" i="7"/>
  <c r="L43" i="7"/>
  <c r="N43" i="7"/>
  <c r="I39" i="7"/>
  <c r="L39" i="7"/>
  <c r="M35" i="7"/>
  <c r="O35" i="7"/>
  <c r="H31" i="7"/>
  <c r="K31" i="7"/>
  <c r="L27" i="7"/>
  <c r="N27" i="7"/>
  <c r="I23" i="7"/>
  <c r="L23" i="7"/>
  <c r="N23" i="7"/>
  <c r="M19" i="7"/>
  <c r="O19" i="7"/>
  <c r="H15" i="7"/>
  <c r="K15" i="7"/>
  <c r="J70" i="7"/>
  <c r="J62" i="7"/>
  <c r="I62" i="7"/>
  <c r="J58" i="7"/>
  <c r="K54" i="7"/>
  <c r="J50" i="7"/>
  <c r="I46" i="7"/>
  <c r="K42" i="7"/>
  <c r="I38" i="7"/>
  <c r="J34" i="7"/>
  <c r="M34" i="7"/>
  <c r="H30" i="7"/>
  <c r="H26" i="7"/>
  <c r="K26" i="7"/>
  <c r="H22" i="7"/>
  <c r="K22" i="7"/>
  <c r="H18" i="7"/>
  <c r="J18" i="7"/>
  <c r="K14" i="7"/>
  <c r="I72" i="7"/>
  <c r="M72" i="7"/>
  <c r="H68" i="7"/>
  <c r="M68" i="7"/>
  <c r="J64" i="7"/>
  <c r="L64" i="7"/>
  <c r="N64" i="7"/>
  <c r="J60" i="7"/>
  <c r="K60" i="7"/>
  <c r="I56" i="7"/>
  <c r="N56" i="7"/>
  <c r="H52" i="7"/>
  <c r="L52" i="7"/>
  <c r="N52" i="7"/>
  <c r="J48" i="7"/>
  <c r="K48" i="7"/>
  <c r="I48" i="7"/>
  <c r="K44" i="7"/>
  <c r="J40" i="7"/>
  <c r="N40" i="7"/>
  <c r="J36" i="7"/>
  <c r="L36" i="7"/>
  <c r="N36" i="7"/>
  <c r="H32" i="7"/>
  <c r="L32" i="7"/>
  <c r="N32" i="7"/>
  <c r="J24" i="7"/>
  <c r="N24" i="7"/>
  <c r="J20" i="7"/>
  <c r="L20" i="7"/>
  <c r="N20" i="7"/>
  <c r="H16" i="7"/>
  <c r="L16" i="7"/>
  <c r="N16" i="7"/>
  <c r="H71" i="7"/>
  <c r="L67" i="7"/>
  <c r="N67" i="7"/>
  <c r="M63" i="7"/>
  <c r="O63" i="7"/>
  <c r="K59" i="7"/>
  <c r="K55" i="7"/>
  <c r="I51" i="7"/>
  <c r="L51" i="7"/>
  <c r="N51" i="7"/>
  <c r="M47" i="7"/>
  <c r="O47" i="7"/>
  <c r="H43" i="7"/>
  <c r="K43" i="7"/>
  <c r="K39" i="7"/>
  <c r="I35" i="7"/>
  <c r="L35" i="7"/>
  <c r="N35" i="7"/>
  <c r="M31" i="7"/>
  <c r="O31" i="7"/>
  <c r="H27" i="7"/>
  <c r="K27" i="7"/>
  <c r="K23" i="7"/>
  <c r="I19" i="7"/>
  <c r="L19" i="7"/>
  <c r="N19" i="7"/>
  <c r="M15" i="7"/>
  <c r="O15" i="7"/>
  <c r="I70" i="7"/>
  <c r="L66" i="7"/>
  <c r="N66" i="7"/>
  <c r="I66" i="7"/>
  <c r="L62" i="7"/>
  <c r="N62" i="7"/>
  <c r="L58" i="7"/>
  <c r="M58" i="7"/>
  <c r="J54" i="7"/>
  <c r="M54" i="7"/>
  <c r="L50" i="7"/>
  <c r="N50" i="7"/>
  <c r="L46" i="7"/>
  <c r="J46" i="7"/>
  <c r="I42" i="7"/>
  <c r="J42" i="7"/>
  <c r="J38" i="7"/>
  <c r="M38" i="7"/>
  <c r="I34" i="7"/>
  <c r="N34" i="7"/>
  <c r="J30" i="7"/>
  <c r="J26" i="7"/>
  <c r="J22" i="7"/>
  <c r="N18" i="7"/>
  <c r="M18" i="7"/>
  <c r="H14" i="7"/>
  <c r="M14" i="7"/>
  <c r="I69" i="7"/>
  <c r="H61" i="7"/>
  <c r="J61" i="7"/>
  <c r="N61" i="7"/>
  <c r="K57" i="7"/>
  <c r="M57" i="7"/>
  <c r="O57" i="7"/>
  <c r="M53" i="7"/>
  <c r="H45" i="7"/>
  <c r="I45" i="7"/>
  <c r="N45" i="7"/>
  <c r="K41" i="7"/>
  <c r="O41" i="7"/>
  <c r="J37" i="7"/>
  <c r="J33" i="7"/>
  <c r="H29" i="7"/>
  <c r="J29" i="7"/>
  <c r="N29" i="7"/>
  <c r="K25" i="7"/>
  <c r="M25" i="7"/>
  <c r="O25" i="7"/>
  <c r="J21" i="7"/>
  <c r="J17" i="7"/>
  <c r="M17" i="7"/>
  <c r="I57" i="7"/>
  <c r="H72" i="7"/>
  <c r="O72" i="7"/>
  <c r="I68" i="7"/>
  <c r="K68" i="7"/>
  <c r="K64" i="7"/>
  <c r="I60" i="7"/>
  <c r="O60" i="7"/>
  <c r="M56" i="7"/>
  <c r="M52" i="7"/>
  <c r="J44" i="7"/>
  <c r="O44" i="7"/>
  <c r="M40" i="7"/>
  <c r="H36" i="7"/>
  <c r="J32" i="7"/>
  <c r="K32" i="7"/>
  <c r="J28" i="7"/>
  <c r="H28" i="7"/>
  <c r="K28" i="7"/>
  <c r="M24" i="7"/>
  <c r="H20" i="7"/>
  <c r="J16" i="7"/>
  <c r="K16" i="7"/>
  <c r="I71" i="7"/>
  <c r="O71" i="7"/>
  <c r="J71" i="7"/>
  <c r="H67" i="7"/>
  <c r="J67" i="7"/>
  <c r="J63" i="7"/>
  <c r="I59" i="7"/>
  <c r="J59" i="7"/>
  <c r="H55" i="7"/>
  <c r="O55" i="7"/>
  <c r="J55" i="7"/>
  <c r="J51" i="7"/>
  <c r="I47" i="7"/>
  <c r="J47" i="7"/>
  <c r="J43" i="7"/>
  <c r="H39" i="7"/>
  <c r="O39" i="7"/>
  <c r="J39" i="7"/>
  <c r="J35" i="7"/>
  <c r="I31" i="7"/>
  <c r="J31" i="7"/>
  <c r="J27" i="7"/>
  <c r="H23" i="7"/>
  <c r="O23" i="7"/>
  <c r="I15" i="7"/>
  <c r="J15" i="7"/>
  <c r="L70" i="7"/>
  <c r="N70" i="7"/>
  <c r="O70" i="7"/>
  <c r="K66" i="7"/>
  <c r="O66" i="7"/>
  <c r="K62" i="7"/>
  <c r="M62" i="7"/>
  <c r="O62" i="7"/>
  <c r="N58" i="7"/>
  <c r="O58" i="7"/>
  <c r="I54" i="7"/>
  <c r="N54" i="7"/>
  <c r="O54" i="7"/>
  <c r="I50" i="7"/>
  <c r="O50" i="7"/>
  <c r="K46" i="7"/>
  <c r="N46" i="7"/>
  <c r="O46" i="7"/>
  <c r="L42" i="7"/>
  <c r="M42" i="7"/>
  <c r="O42" i="7"/>
  <c r="L38" i="7"/>
  <c r="N38" i="7"/>
  <c r="O38" i="7"/>
  <c r="L34" i="7"/>
  <c r="O34" i="7"/>
  <c r="I30" i="7"/>
  <c r="L30" i="7"/>
  <c r="N30" i="7"/>
  <c r="O30" i="7"/>
  <c r="I26" i="7"/>
  <c r="L26" i="7"/>
  <c r="M26" i="7"/>
  <c r="I22" i="7"/>
  <c r="N22" i="7"/>
  <c r="M22" i="7"/>
  <c r="I18" i="7"/>
  <c r="L18" i="7"/>
  <c r="J14" i="7"/>
  <c r="K69" i="7"/>
  <c r="L69" i="7"/>
  <c r="O69" i="7"/>
  <c r="I61" i="7"/>
  <c r="H57" i="7"/>
  <c r="J57" i="7"/>
  <c r="N57" i="7"/>
  <c r="K53" i="7"/>
  <c r="I53" i="7"/>
  <c r="O53" i="7"/>
  <c r="J45" i="7"/>
  <c r="L45" i="7"/>
  <c r="H41" i="7"/>
  <c r="J41" i="7"/>
  <c r="L41" i="7"/>
  <c r="N41" i="7"/>
  <c r="K37" i="7"/>
  <c r="M37" i="7"/>
  <c r="O37" i="7"/>
  <c r="M33" i="7"/>
  <c r="O33" i="7"/>
  <c r="I29" i="7"/>
  <c r="H25" i="7"/>
  <c r="I25" i="7"/>
  <c r="N25" i="7"/>
  <c r="I21" i="7"/>
  <c r="M21" i="7"/>
  <c r="O21" i="7"/>
  <c r="O17" i="7"/>
  <c r="J69" i="7"/>
  <c r="O61" i="7"/>
  <c r="J53" i="7"/>
  <c r="M41" i="7"/>
  <c r="K33" i="7"/>
  <c r="N33" i="7"/>
  <c r="H17" i="7"/>
  <c r="H33" i="7"/>
  <c r="O29" i="7"/>
  <c r="N17" i="7"/>
  <c r="K45" i="7"/>
  <c r="I37" i="7"/>
  <c r="I33" i="7"/>
  <c r="K29" i="7"/>
  <c r="K17" i="7"/>
  <c r="I41" i="7"/>
  <c r="AB10" i="7"/>
  <c r="I7" i="6"/>
  <c r="I5" i="6"/>
  <c r="J5" i="6"/>
  <c r="G7" i="6"/>
  <c r="H7" i="6"/>
  <c r="G5" i="6"/>
  <c r="H5" i="6"/>
  <c r="AJ5" i="6"/>
  <c r="N11" i="7"/>
  <c r="K11" i="7"/>
  <c r="M12" i="7"/>
  <c r="H11" i="7"/>
  <c r="N12" i="7"/>
  <c r="I11" i="7"/>
  <c r="O11" i="7"/>
  <c r="L11" i="7"/>
  <c r="M11" i="7"/>
  <c r="H12" i="7"/>
  <c r="K12" i="7"/>
  <c r="I12" i="7"/>
  <c r="J12" i="7"/>
  <c r="O12" i="7"/>
  <c r="J11" i="7"/>
  <c r="L12" i="7"/>
  <c r="Z6" i="7"/>
  <c r="AA6" i="7"/>
  <c r="X6" i="7"/>
  <c r="Y6" i="7"/>
  <c r="V6" i="7"/>
  <c r="W6" i="7"/>
  <c r="T6" i="7"/>
  <c r="U6" i="7"/>
  <c r="J4" i="6"/>
  <c r="AF9" i="7"/>
  <c r="AH6" i="6"/>
  <c r="AF5" i="7"/>
  <c r="D5" i="7" s="1"/>
  <c r="AF7" i="7"/>
  <c r="AF8" i="7"/>
  <c r="AB7" i="7"/>
  <c r="J51" i="6" l="1"/>
  <c r="J72" i="6"/>
  <c r="J50" i="6"/>
  <c r="J20" i="6"/>
  <c r="J66" i="6"/>
  <c r="J67" i="6"/>
  <c r="J68" i="6"/>
  <c r="J16" i="6"/>
  <c r="J63" i="6"/>
  <c r="J56" i="6"/>
  <c r="J11" i="6"/>
  <c r="J54" i="6"/>
  <c r="J15" i="6"/>
  <c r="J29" i="6"/>
  <c r="J19" i="6"/>
  <c r="J21" i="6"/>
  <c r="J28" i="6"/>
  <c r="J52" i="6"/>
  <c r="J45" i="6"/>
  <c r="J40" i="6"/>
  <c r="J61" i="6"/>
  <c r="J59" i="6"/>
  <c r="J55" i="6"/>
  <c r="J39" i="6"/>
  <c r="J38" i="6"/>
  <c r="J32" i="6"/>
  <c r="J47" i="6"/>
  <c r="J33" i="6"/>
  <c r="J36" i="6"/>
  <c r="J24" i="6"/>
  <c r="J31" i="6"/>
  <c r="J46" i="6"/>
  <c r="J22" i="6"/>
  <c r="J30" i="6"/>
  <c r="J62" i="6"/>
  <c r="J69" i="6"/>
  <c r="J70" i="6"/>
  <c r="J64" i="6"/>
  <c r="J18" i="6"/>
  <c r="J23" i="6"/>
  <c r="J25" i="6"/>
  <c r="J35" i="6"/>
  <c r="J34" i="6"/>
  <c r="J14" i="6"/>
  <c r="J58" i="6"/>
  <c r="J37" i="6"/>
  <c r="J42" i="6"/>
  <c r="J48" i="6"/>
  <c r="J12" i="6"/>
  <c r="J41" i="6"/>
  <c r="J44" i="6"/>
  <c r="J43" i="6"/>
  <c r="J57" i="6"/>
  <c r="J27" i="6"/>
  <c r="J71" i="6"/>
  <c r="J53" i="6"/>
  <c r="J17" i="6"/>
  <c r="J60" i="6"/>
  <c r="J9" i="6"/>
  <c r="J10" i="6"/>
  <c r="J8" i="6"/>
  <c r="J26" i="6"/>
  <c r="J7" i="6"/>
  <c r="A22" i="1"/>
  <c r="AB21" i="7"/>
  <c r="E21" i="7" s="1"/>
  <c r="G21" i="7" s="1"/>
  <c r="AB11" i="7"/>
  <c r="E11" i="7" s="1"/>
  <c r="G11" i="7" s="1"/>
  <c r="I6" i="6"/>
  <c r="J6" i="6"/>
  <c r="G6" i="6"/>
  <c r="H6" i="6"/>
  <c r="AJ6" i="6"/>
  <c r="AJ7" i="6" s="1"/>
  <c r="AJ8" i="6" s="1"/>
  <c r="AI8" i="6" s="1"/>
  <c r="Z5" i="7"/>
  <c r="AA5" i="7"/>
  <c r="X5" i="7"/>
  <c r="Y5" i="7"/>
  <c r="V5" i="7"/>
  <c r="W5" i="7"/>
  <c r="T5" i="7"/>
  <c r="U5" i="7"/>
  <c r="AH5" i="7"/>
  <c r="AH6" i="7" s="1"/>
  <c r="AH7" i="7" s="1"/>
  <c r="AH8" i="7" s="1"/>
  <c r="AH9" i="7" s="1"/>
  <c r="AH10" i="7" s="1"/>
  <c r="K4" i="6"/>
  <c r="K6" i="6" s="1"/>
  <c r="O5" i="7"/>
  <c r="R5" i="7"/>
  <c r="K5" i="7"/>
  <c r="H5" i="7"/>
  <c r="L5" i="7"/>
  <c r="Q5" i="7"/>
  <c r="I5" i="7"/>
  <c r="M5" i="7"/>
  <c r="P5" i="7"/>
  <c r="F5" i="7"/>
  <c r="J5" i="7"/>
  <c r="N5" i="7"/>
  <c r="S5" i="7"/>
  <c r="AB9" i="7"/>
  <c r="AI5" i="6"/>
  <c r="K51" i="6" l="1"/>
  <c r="K72" i="6"/>
  <c r="K20" i="6"/>
  <c r="K50" i="6"/>
  <c r="K67" i="6"/>
  <c r="K68" i="6"/>
  <c r="K66" i="6"/>
  <c r="K16" i="6"/>
  <c r="K61" i="6"/>
  <c r="K28" i="6"/>
  <c r="K55" i="6"/>
  <c r="K40" i="6"/>
  <c r="K19" i="6"/>
  <c r="K45" i="6"/>
  <c r="K63" i="6"/>
  <c r="K21" i="6"/>
  <c r="K56" i="6"/>
  <c r="K39" i="6"/>
  <c r="K11" i="6"/>
  <c r="K54" i="6"/>
  <c r="K15" i="6"/>
  <c r="K59" i="6"/>
  <c r="K52" i="6"/>
  <c r="K29" i="6"/>
  <c r="K71" i="6"/>
  <c r="K18" i="6"/>
  <c r="K34" i="6"/>
  <c r="K36" i="6"/>
  <c r="K30" i="6"/>
  <c r="K69" i="6"/>
  <c r="K70" i="6"/>
  <c r="K32" i="6"/>
  <c r="K47" i="6"/>
  <c r="K25" i="6"/>
  <c r="K27" i="6"/>
  <c r="K58" i="6"/>
  <c r="K37" i="6"/>
  <c r="K24" i="6"/>
  <c r="K31" i="6"/>
  <c r="K53" i="6"/>
  <c r="K23" i="6"/>
  <c r="K14" i="6"/>
  <c r="K22" i="6"/>
  <c r="K38" i="6"/>
  <c r="K46" i="6"/>
  <c r="K42" i="6"/>
  <c r="K17" i="6"/>
  <c r="K41" i="6"/>
  <c r="K48" i="6"/>
  <c r="K64" i="6"/>
  <c r="K44" i="6"/>
  <c r="K33" i="6"/>
  <c r="K62" i="6"/>
  <c r="K57" i="6"/>
  <c r="K35" i="6"/>
  <c r="K43" i="6"/>
  <c r="K12" i="6"/>
  <c r="K60" i="6"/>
  <c r="K26" i="6"/>
  <c r="K10" i="6"/>
  <c r="K9" i="6"/>
  <c r="K8" i="6"/>
  <c r="K7" i="6"/>
  <c r="K5" i="6"/>
  <c r="A23" i="1"/>
  <c r="AB22" i="7"/>
  <c r="E22" i="7" s="1"/>
  <c r="G22" i="7" s="1"/>
  <c r="AB12" i="7"/>
  <c r="E12" i="7" s="1"/>
  <c r="G12" i="7" s="1"/>
  <c r="AI6" i="6"/>
  <c r="AJ9" i="6"/>
  <c r="AJ10" i="6" s="1"/>
  <c r="AG10" i="7"/>
  <c r="AH11" i="7"/>
  <c r="AB8" i="7"/>
  <c r="AG6" i="7"/>
  <c r="AG5" i="7"/>
  <c r="L4" i="6"/>
  <c r="AG7" i="7"/>
  <c r="AI7" i="6"/>
  <c r="A24" i="1" l="1"/>
  <c r="AB23" i="7"/>
  <c r="E23" i="7" s="1"/>
  <c r="G23" i="7" s="1"/>
  <c r="L50" i="6"/>
  <c r="L67" i="6"/>
  <c r="L72" i="6"/>
  <c r="L66" i="6"/>
  <c r="L20" i="6"/>
  <c r="L68" i="6"/>
  <c r="L51" i="6"/>
  <c r="L16" i="6"/>
  <c r="L55" i="6"/>
  <c r="L52" i="6"/>
  <c r="L59" i="6"/>
  <c r="L39" i="6"/>
  <c r="L61" i="6"/>
  <c r="L63" i="6"/>
  <c r="L56" i="6"/>
  <c r="L40" i="6"/>
  <c r="L29" i="6"/>
  <c r="L19" i="6"/>
  <c r="L38" i="6"/>
  <c r="L45" i="6"/>
  <c r="L21" i="6"/>
  <c r="L15" i="6"/>
  <c r="L54" i="6"/>
  <c r="L28" i="6"/>
  <c r="L11" i="6"/>
  <c r="L44" i="6"/>
  <c r="L35" i="6"/>
  <c r="L34" i="6"/>
  <c r="L14" i="6"/>
  <c r="L58" i="6"/>
  <c r="L37" i="6"/>
  <c r="L70" i="6"/>
  <c r="L32" i="6"/>
  <c r="L53" i="6"/>
  <c r="L46" i="6"/>
  <c r="L47" i="6"/>
  <c r="L36" i="6"/>
  <c r="L30" i="6"/>
  <c r="L24" i="6"/>
  <c r="L57" i="6"/>
  <c r="L71" i="6"/>
  <c r="L69" i="6"/>
  <c r="L18" i="6"/>
  <c r="L23" i="6"/>
  <c r="L25" i="6"/>
  <c r="L33" i="6"/>
  <c r="L62" i="6"/>
  <c r="L22" i="6"/>
  <c r="L43" i="6"/>
  <c r="L42" i="6"/>
  <c r="L17" i="6"/>
  <c r="L12" i="6"/>
  <c r="L31" i="6"/>
  <c r="L48" i="6"/>
  <c r="L60" i="6"/>
  <c r="L64" i="6"/>
  <c r="L27" i="6"/>
  <c r="L41" i="6"/>
  <c r="L10" i="6"/>
  <c r="L8" i="6"/>
  <c r="L9" i="6"/>
  <c r="L26" i="6"/>
  <c r="L5" i="6"/>
  <c r="L7" i="6"/>
  <c r="L6" i="6"/>
  <c r="AB13" i="7"/>
  <c r="AI9" i="6"/>
  <c r="AH12" i="7"/>
  <c r="AG11" i="7"/>
  <c r="AI10" i="6"/>
  <c r="AJ11" i="6"/>
  <c r="M4" i="6"/>
  <c r="AG8" i="7"/>
  <c r="A25" i="1" l="1"/>
  <c r="AB24" i="7"/>
  <c r="E24" i="7" s="1"/>
  <c r="G24" i="7" s="1"/>
  <c r="M72" i="6"/>
  <c r="M50" i="6"/>
  <c r="M51" i="6"/>
  <c r="M66" i="6"/>
  <c r="M67" i="6"/>
  <c r="M20" i="6"/>
  <c r="M68" i="6"/>
  <c r="M21" i="6"/>
  <c r="M39" i="6"/>
  <c r="M52" i="6"/>
  <c r="M59" i="6"/>
  <c r="M45" i="6"/>
  <c r="M15" i="6"/>
  <c r="M61" i="6"/>
  <c r="M63" i="6"/>
  <c r="M55" i="6"/>
  <c r="M11" i="6"/>
  <c r="M54" i="6"/>
  <c r="M40" i="6"/>
  <c r="M19" i="6"/>
  <c r="M28" i="6"/>
  <c r="M16" i="6"/>
  <c r="M29" i="6"/>
  <c r="M56" i="6"/>
  <c r="M70" i="6"/>
  <c r="M38" i="6"/>
  <c r="M27" i="6"/>
  <c r="M14" i="6"/>
  <c r="M22" i="6"/>
  <c r="M58" i="6"/>
  <c r="M43" i="6"/>
  <c r="M71" i="6"/>
  <c r="M32" i="6"/>
  <c r="M25" i="6"/>
  <c r="M36" i="6"/>
  <c r="M30" i="6"/>
  <c r="M37" i="6"/>
  <c r="M24" i="6"/>
  <c r="M69" i="6"/>
  <c r="M46" i="6"/>
  <c r="M23" i="6"/>
  <c r="M62" i="6"/>
  <c r="M35" i="6"/>
  <c r="M57" i="6"/>
  <c r="M48" i="6"/>
  <c r="M12" i="6"/>
  <c r="M31" i="6"/>
  <c r="M60" i="6"/>
  <c r="M53" i="6"/>
  <c r="M47" i="6"/>
  <c r="M41" i="6"/>
  <c r="M44" i="6"/>
  <c r="M34" i="6"/>
  <c r="M42" i="6"/>
  <c r="M17" i="6"/>
  <c r="M64" i="6"/>
  <c r="M18" i="6"/>
  <c r="M33" i="6"/>
  <c r="M9" i="6"/>
  <c r="M8" i="6"/>
  <c r="M26" i="6"/>
  <c r="M10" i="6"/>
  <c r="M5" i="6"/>
  <c r="M7" i="6"/>
  <c r="M6" i="6"/>
  <c r="AH13" i="7"/>
  <c r="AG12" i="7"/>
  <c r="AI11" i="6"/>
  <c r="AJ12" i="6"/>
  <c r="U8" i="7"/>
  <c r="N4" i="6"/>
  <c r="AG9" i="7"/>
  <c r="T8" i="7" s="1"/>
  <c r="N72" i="6" l="1"/>
  <c r="N68" i="6"/>
  <c r="N51" i="6"/>
  <c r="N20" i="6"/>
  <c r="N67" i="6"/>
  <c r="N66" i="6"/>
  <c r="N50" i="6"/>
  <c r="N52" i="6"/>
  <c r="N29" i="6"/>
  <c r="N11" i="6"/>
  <c r="N61" i="6"/>
  <c r="N63" i="6"/>
  <c r="N21" i="6"/>
  <c r="N56" i="6"/>
  <c r="N39" i="6"/>
  <c r="N55" i="6"/>
  <c r="N54" i="6"/>
  <c r="N15" i="6"/>
  <c r="N19" i="6"/>
  <c r="N45" i="6"/>
  <c r="N28" i="6"/>
  <c r="N16" i="6"/>
  <c r="N40" i="6"/>
  <c r="N59" i="6"/>
  <c r="N70" i="6"/>
  <c r="N44" i="6"/>
  <c r="N25" i="6"/>
  <c r="N27" i="6"/>
  <c r="N58" i="6"/>
  <c r="N43" i="6"/>
  <c r="N30" i="6"/>
  <c r="N37" i="6"/>
  <c r="N71" i="6"/>
  <c r="N69" i="6"/>
  <c r="N38" i="6"/>
  <c r="N32" i="6"/>
  <c r="N53" i="6"/>
  <c r="N23" i="6"/>
  <c r="N47" i="6"/>
  <c r="N33" i="6"/>
  <c r="N36" i="6"/>
  <c r="N24" i="6"/>
  <c r="N31" i="6"/>
  <c r="N46" i="6"/>
  <c r="N62" i="6"/>
  <c r="N64" i="6"/>
  <c r="N35" i="6"/>
  <c r="N17" i="6"/>
  <c r="N48" i="6"/>
  <c r="N34" i="6"/>
  <c r="N18" i="6"/>
  <c r="N22" i="6"/>
  <c r="N42" i="6"/>
  <c r="N12" i="6"/>
  <c r="N41" i="6"/>
  <c r="N57" i="6"/>
  <c r="N14" i="6"/>
  <c r="N60" i="6"/>
  <c r="N9" i="6"/>
  <c r="N10" i="6"/>
  <c r="N26" i="6"/>
  <c r="N8" i="6"/>
  <c r="N7" i="6"/>
  <c r="N5" i="6"/>
  <c r="N6" i="6"/>
  <c r="A26" i="1"/>
  <c r="AB25" i="7"/>
  <c r="E25" i="7" s="1"/>
  <c r="G25" i="7" s="1"/>
  <c r="AG13" i="7"/>
  <c r="AH14" i="7"/>
  <c r="AJ13" i="6"/>
  <c r="AI12" i="6"/>
  <c r="D8" i="7"/>
  <c r="AA8" i="7"/>
  <c r="Y8" i="7"/>
  <c r="Z8" i="7"/>
  <c r="X8" i="7"/>
  <c r="V8" i="7"/>
  <c r="W8" i="7"/>
  <c r="D9" i="7"/>
  <c r="D7" i="7"/>
  <c r="N6" i="7"/>
  <c r="O4" i="6"/>
  <c r="L6" i="7"/>
  <c r="O6" i="7"/>
  <c r="S6" i="7"/>
  <c r="K6" i="7"/>
  <c r="Q6" i="7"/>
  <c r="P6" i="7"/>
  <c r="R6" i="7"/>
  <c r="I6" i="7"/>
  <c r="F6" i="7"/>
  <c r="M6" i="7"/>
  <c r="H6" i="7"/>
  <c r="J6" i="7"/>
  <c r="O68" i="6" l="1"/>
  <c r="O16" i="6"/>
  <c r="O66" i="6"/>
  <c r="O50" i="6"/>
  <c r="O72" i="6"/>
  <c r="O67" i="6"/>
  <c r="O51" i="6"/>
  <c r="O20" i="6"/>
  <c r="O45" i="6"/>
  <c r="O21" i="6"/>
  <c r="O39" i="6"/>
  <c r="O11" i="6"/>
  <c r="O61" i="6"/>
  <c r="O28" i="6"/>
  <c r="O56" i="6"/>
  <c r="O59" i="6"/>
  <c r="O55" i="6"/>
  <c r="O52" i="6"/>
  <c r="O54" i="6"/>
  <c r="O40" i="6"/>
  <c r="O29" i="6"/>
  <c r="O19" i="6"/>
  <c r="O63" i="6"/>
  <c r="O15" i="6"/>
  <c r="O69" i="6"/>
  <c r="O64" i="6"/>
  <c r="O53" i="6"/>
  <c r="O46" i="6"/>
  <c r="O27" i="6"/>
  <c r="O58" i="6"/>
  <c r="O62" i="6"/>
  <c r="O33" i="6"/>
  <c r="O14" i="6"/>
  <c r="O30" i="6"/>
  <c r="O37" i="6"/>
  <c r="O71" i="6"/>
  <c r="O70" i="6"/>
  <c r="O38" i="6"/>
  <c r="O32" i="6"/>
  <c r="O47" i="6"/>
  <c r="O25" i="6"/>
  <c r="O35" i="6"/>
  <c r="O22" i="6"/>
  <c r="O36" i="6"/>
  <c r="O43" i="6"/>
  <c r="O31" i="6"/>
  <c r="O23" i="6"/>
  <c r="O44" i="6"/>
  <c r="O34" i="6"/>
  <c r="O57" i="6"/>
  <c r="O60" i="6"/>
  <c r="O41" i="6"/>
  <c r="O17" i="6"/>
  <c r="O42" i="6"/>
  <c r="O12" i="6"/>
  <c r="O18" i="6"/>
  <c r="O24" i="6"/>
  <c r="O48" i="6"/>
  <c r="O26" i="6"/>
  <c r="O10" i="6"/>
  <c r="O9" i="6"/>
  <c r="O8" i="6"/>
  <c r="O7" i="6"/>
  <c r="O5" i="6"/>
  <c r="O6" i="6"/>
  <c r="A27" i="1"/>
  <c r="AB26" i="7"/>
  <c r="E26" i="7" s="1"/>
  <c r="G26" i="7" s="1"/>
  <c r="AG14" i="7"/>
  <c r="AH15" i="7"/>
  <c r="AI13" i="6"/>
  <c r="AJ14" i="6"/>
  <c r="N13" i="6"/>
  <c r="O13" i="6"/>
  <c r="L13" i="6"/>
  <c r="M13" i="6"/>
  <c r="K13" i="6"/>
  <c r="I13" i="6"/>
  <c r="J13" i="6"/>
  <c r="G13" i="6"/>
  <c r="H13" i="6"/>
  <c r="D10" i="7"/>
  <c r="D13" i="7" s="1"/>
  <c r="Z9" i="7"/>
  <c r="AA7" i="7"/>
  <c r="Z7" i="7"/>
  <c r="Y9" i="7"/>
  <c r="AA9" i="7"/>
  <c r="Y7" i="7"/>
  <c r="N7" i="7"/>
  <c r="N8" i="7" s="1"/>
  <c r="X9" i="7"/>
  <c r="X7" i="7"/>
  <c r="W7" i="7"/>
  <c r="W9" i="7"/>
  <c r="H7" i="7"/>
  <c r="H8" i="7" s="1"/>
  <c r="V9" i="7"/>
  <c r="V7" i="7"/>
  <c r="U9" i="7"/>
  <c r="U7" i="7"/>
  <c r="T9" i="7"/>
  <c r="T7" i="7"/>
  <c r="J7" i="7"/>
  <c r="J8" i="7" s="1"/>
  <c r="J9" i="7" s="1"/>
  <c r="J10" i="7" s="1"/>
  <c r="I7" i="7"/>
  <c r="I8" i="7" s="1"/>
  <c r="K7" i="7"/>
  <c r="K8" i="7" s="1"/>
  <c r="M7" i="7"/>
  <c r="M8" i="7" s="1"/>
  <c r="P7" i="7"/>
  <c r="P8" i="7" s="1"/>
  <c r="O7" i="7"/>
  <c r="O8" i="7" s="1"/>
  <c r="F7" i="7"/>
  <c r="F8" i="7" s="1"/>
  <c r="R7" i="7"/>
  <c r="R8" i="7" s="1"/>
  <c r="S7" i="7"/>
  <c r="S8" i="7" s="1"/>
  <c r="L7" i="7"/>
  <c r="L8" i="7" s="1"/>
  <c r="Q7" i="7"/>
  <c r="Q8" i="7" s="1"/>
  <c r="P4" i="6"/>
  <c r="P50" i="6" l="1"/>
  <c r="P20" i="6"/>
  <c r="P68" i="6"/>
  <c r="P66" i="6"/>
  <c r="P51" i="6"/>
  <c r="P72" i="6"/>
  <c r="P67" i="6"/>
  <c r="P55" i="6"/>
  <c r="P15" i="6"/>
  <c r="P29" i="6"/>
  <c r="P61" i="6"/>
  <c r="P63" i="6"/>
  <c r="P56" i="6"/>
  <c r="P28" i="6"/>
  <c r="P52" i="6"/>
  <c r="P40" i="6"/>
  <c r="P39" i="6"/>
  <c r="P11" i="6"/>
  <c r="P16" i="6"/>
  <c r="P54" i="6"/>
  <c r="P38" i="6"/>
  <c r="P59" i="6"/>
  <c r="P19" i="6"/>
  <c r="P45" i="6"/>
  <c r="P21" i="6"/>
  <c r="P64" i="6"/>
  <c r="P31" i="6"/>
  <c r="P46" i="6"/>
  <c r="P33" i="6"/>
  <c r="P34" i="6"/>
  <c r="P70" i="6"/>
  <c r="P44" i="6"/>
  <c r="P35" i="6"/>
  <c r="P14" i="6"/>
  <c r="P58" i="6"/>
  <c r="P36" i="6"/>
  <c r="P43" i="6"/>
  <c r="P32" i="6"/>
  <c r="P53" i="6"/>
  <c r="P47" i="6"/>
  <c r="P30" i="6"/>
  <c r="P18" i="6"/>
  <c r="P60" i="6"/>
  <c r="P41" i="6"/>
  <c r="P48" i="6"/>
  <c r="P57" i="6"/>
  <c r="P12" i="6"/>
  <c r="P23" i="6"/>
  <c r="P25" i="6"/>
  <c r="P27" i="6"/>
  <c r="P62" i="6"/>
  <c r="P42" i="6"/>
  <c r="P17" i="6"/>
  <c r="P24" i="6"/>
  <c r="P22" i="6"/>
  <c r="P37" i="6"/>
  <c r="P71" i="6"/>
  <c r="P69" i="6"/>
  <c r="P8" i="6"/>
  <c r="P9" i="6"/>
  <c r="P26" i="6"/>
  <c r="P10" i="6"/>
  <c r="P5" i="6"/>
  <c r="P7" i="6"/>
  <c r="P6" i="6"/>
  <c r="A28" i="1"/>
  <c r="AB27" i="7"/>
  <c r="E27" i="7" s="1"/>
  <c r="G27" i="7" s="1"/>
  <c r="P13" i="6"/>
  <c r="AH16" i="7"/>
  <c r="AG15" i="7"/>
  <c r="AI14" i="6"/>
  <c r="AJ15" i="6"/>
  <c r="J13" i="7"/>
  <c r="Z10" i="7"/>
  <c r="Z13" i="7" s="1"/>
  <c r="V10" i="7"/>
  <c r="V13" i="7" s="1"/>
  <c r="AA10" i="7"/>
  <c r="AA13" i="7" s="1"/>
  <c r="Y10" i="7"/>
  <c r="Y13" i="7" s="1"/>
  <c r="T10" i="7"/>
  <c r="T13" i="7" s="1"/>
  <c r="W10" i="7"/>
  <c r="W13" i="7" s="1"/>
  <c r="X10" i="7"/>
  <c r="X13" i="7" s="1"/>
  <c r="U10" i="7"/>
  <c r="U13" i="7" s="1"/>
  <c r="I9" i="7"/>
  <c r="I10" i="7" s="1"/>
  <c r="I13" i="7" s="1"/>
  <c r="F9" i="7"/>
  <c r="F10" i="7" s="1"/>
  <c r="F13" i="7" s="1"/>
  <c r="L9" i="7"/>
  <c r="L10" i="7" s="1"/>
  <c r="L13" i="7" s="1"/>
  <c r="H9" i="7"/>
  <c r="H10" i="7" s="1"/>
  <c r="H13" i="7" s="1"/>
  <c r="Q9" i="7"/>
  <c r="Q10" i="7" s="1"/>
  <c r="Q13" i="7" s="1"/>
  <c r="K9" i="7"/>
  <c r="K10" i="7" s="1"/>
  <c r="K13" i="7" s="1"/>
  <c r="R9" i="7"/>
  <c r="R10" i="7" s="1"/>
  <c r="R13" i="7" s="1"/>
  <c r="M9" i="7"/>
  <c r="M10" i="7" s="1"/>
  <c r="M13" i="7" s="1"/>
  <c r="O9" i="7"/>
  <c r="O10" i="7" s="1"/>
  <c r="O13" i="7" s="1"/>
  <c r="S9" i="7"/>
  <c r="S10" i="7" s="1"/>
  <c r="S13" i="7" s="1"/>
  <c r="P9" i="7"/>
  <c r="P10" i="7" s="1"/>
  <c r="P13" i="7" s="1"/>
  <c r="N9" i="7"/>
  <c r="N10" i="7" s="1"/>
  <c r="N13" i="7" s="1"/>
  <c r="Q4" i="6"/>
  <c r="Q66" i="6" l="1"/>
  <c r="Q50" i="6"/>
  <c r="Q55" i="6"/>
  <c r="Q67" i="6"/>
  <c r="Q68" i="6"/>
  <c r="Q16" i="6"/>
  <c r="Q20" i="6"/>
  <c r="Q72" i="6"/>
  <c r="Q51" i="6"/>
  <c r="Q52" i="6"/>
  <c r="Q59" i="6"/>
  <c r="Q54" i="6"/>
  <c r="Q40" i="6"/>
  <c r="Q21" i="6"/>
  <c r="Q56" i="6"/>
  <c r="Q39" i="6"/>
  <c r="Q45" i="6"/>
  <c r="Q11" i="6"/>
  <c r="Q15" i="6"/>
  <c r="Q61" i="6"/>
  <c r="Q19" i="6"/>
  <c r="Q38" i="6"/>
  <c r="Q63" i="6"/>
  <c r="Q29" i="6"/>
  <c r="Q28" i="6"/>
  <c r="Q64" i="6"/>
  <c r="Q31" i="6"/>
  <c r="Q18" i="6"/>
  <c r="Q23" i="6"/>
  <c r="Q47" i="6"/>
  <c r="Q35" i="6"/>
  <c r="Q33" i="6"/>
  <c r="Q34" i="6"/>
  <c r="Q27" i="6"/>
  <c r="Q14" i="6"/>
  <c r="Q22" i="6"/>
  <c r="Q58" i="6"/>
  <c r="Q43" i="6"/>
  <c r="Q69" i="6"/>
  <c r="Q32" i="6"/>
  <c r="Q44" i="6"/>
  <c r="Q36" i="6"/>
  <c r="Q30" i="6"/>
  <c r="Q71" i="6"/>
  <c r="Q53" i="6"/>
  <c r="Q46" i="6"/>
  <c r="Q25" i="6"/>
  <c r="Q57" i="6"/>
  <c r="Q17" i="6"/>
  <c r="Q60" i="6"/>
  <c r="Q12" i="6"/>
  <c r="Q41" i="6"/>
  <c r="Q48" i="6"/>
  <c r="Q70" i="6"/>
  <c r="Q62" i="6"/>
  <c r="Q37" i="6"/>
  <c r="Q24" i="6"/>
  <c r="Q42" i="6"/>
  <c r="Q9" i="6"/>
  <c r="Q8" i="6"/>
  <c r="Q26" i="6"/>
  <c r="Q10" i="6"/>
  <c r="Q5" i="6"/>
  <c r="Q7" i="6"/>
  <c r="Q6" i="6"/>
  <c r="Q13" i="6"/>
  <c r="A29" i="1"/>
  <c r="AB28" i="7"/>
  <c r="E28" i="7" s="1"/>
  <c r="G28" i="7" s="1"/>
  <c r="AG16" i="7"/>
  <c r="AH17" i="7"/>
  <c r="AI15" i="6"/>
  <c r="AJ16" i="6"/>
  <c r="R4" i="6"/>
  <c r="A30" i="1" l="1"/>
  <c r="AB29" i="7"/>
  <c r="E29" i="7" s="1"/>
  <c r="G29" i="7" s="1"/>
  <c r="R66" i="6"/>
  <c r="R72" i="6"/>
  <c r="R68" i="6"/>
  <c r="R67" i="6"/>
  <c r="R51" i="6"/>
  <c r="R50" i="6"/>
  <c r="R20" i="6"/>
  <c r="R59" i="6"/>
  <c r="R39" i="6"/>
  <c r="R11" i="6"/>
  <c r="R15" i="6"/>
  <c r="R40" i="6"/>
  <c r="R19" i="6"/>
  <c r="R52" i="6"/>
  <c r="R29" i="6"/>
  <c r="R61" i="6"/>
  <c r="R45" i="6"/>
  <c r="R28" i="6"/>
  <c r="R16" i="6"/>
  <c r="R55" i="6"/>
  <c r="R63" i="6"/>
  <c r="R21" i="6"/>
  <c r="R56" i="6"/>
  <c r="R54" i="6"/>
  <c r="R71" i="6"/>
  <c r="R69" i="6"/>
  <c r="R64" i="6"/>
  <c r="R18" i="6"/>
  <c r="R25" i="6"/>
  <c r="R34" i="6"/>
  <c r="R14" i="6"/>
  <c r="R38" i="6"/>
  <c r="R53" i="6"/>
  <c r="R44" i="6"/>
  <c r="R27" i="6"/>
  <c r="R58" i="6"/>
  <c r="R43" i="6"/>
  <c r="R30" i="6"/>
  <c r="R70" i="6"/>
  <c r="R32" i="6"/>
  <c r="R31" i="6"/>
  <c r="R47" i="6"/>
  <c r="R33" i="6"/>
  <c r="R36" i="6"/>
  <c r="R22" i="6"/>
  <c r="R60" i="6"/>
  <c r="R12" i="6"/>
  <c r="R41" i="6"/>
  <c r="R62" i="6"/>
  <c r="R24" i="6"/>
  <c r="R46" i="6"/>
  <c r="R23" i="6"/>
  <c r="R37" i="6"/>
  <c r="R48" i="6"/>
  <c r="R35" i="6"/>
  <c r="R42" i="6"/>
  <c r="R57" i="6"/>
  <c r="R17" i="6"/>
  <c r="R10" i="6"/>
  <c r="R9" i="6"/>
  <c r="R26" i="6"/>
  <c r="R8" i="6"/>
  <c r="R5" i="6"/>
  <c r="R7" i="6"/>
  <c r="R6" i="6"/>
  <c r="R13" i="6"/>
  <c r="AG17" i="7"/>
  <c r="AH18" i="7"/>
  <c r="AI16" i="6"/>
  <c r="AJ17" i="6"/>
  <c r="S4" i="6"/>
  <c r="A31" i="1" l="1"/>
  <c r="AB30" i="7"/>
  <c r="E30" i="7" s="1"/>
  <c r="G30" i="7" s="1"/>
  <c r="S50" i="6"/>
  <c r="S67" i="6"/>
  <c r="S66" i="6"/>
  <c r="S20" i="6"/>
  <c r="S68" i="6"/>
  <c r="S72" i="6"/>
  <c r="S51" i="6"/>
  <c r="S16" i="6"/>
  <c r="S55" i="6"/>
  <c r="S52" i="6"/>
  <c r="S54" i="6"/>
  <c r="S15" i="6"/>
  <c r="S45" i="6"/>
  <c r="S11" i="6"/>
  <c r="S40" i="6"/>
  <c r="S21" i="6"/>
  <c r="S29" i="6"/>
  <c r="S28" i="6"/>
  <c r="S56" i="6"/>
  <c r="S39" i="6"/>
  <c r="S61" i="6"/>
  <c r="S59" i="6"/>
  <c r="S19" i="6"/>
  <c r="S63" i="6"/>
  <c r="S31" i="6"/>
  <c r="S23" i="6"/>
  <c r="S44" i="6"/>
  <c r="S33" i="6"/>
  <c r="S22" i="6"/>
  <c r="S43" i="6"/>
  <c r="S69" i="6"/>
  <c r="S38" i="6"/>
  <c r="S64" i="6"/>
  <c r="S18" i="6"/>
  <c r="S46" i="6"/>
  <c r="S35" i="6"/>
  <c r="S62" i="6"/>
  <c r="S37" i="6"/>
  <c r="S42" i="6"/>
  <c r="S71" i="6"/>
  <c r="S27" i="6"/>
  <c r="S58" i="6"/>
  <c r="S30" i="6"/>
  <c r="S70" i="6"/>
  <c r="S53" i="6"/>
  <c r="S47" i="6"/>
  <c r="S34" i="6"/>
  <c r="S57" i="6"/>
  <c r="S17" i="6"/>
  <c r="S60" i="6"/>
  <c r="S41" i="6"/>
  <c r="S12" i="6"/>
  <c r="S25" i="6"/>
  <c r="S14" i="6"/>
  <c r="S36" i="6"/>
  <c r="S48" i="6"/>
  <c r="S32" i="6"/>
  <c r="S24" i="6"/>
  <c r="S26" i="6"/>
  <c r="S9" i="6"/>
  <c r="S10" i="6"/>
  <c r="S8" i="6"/>
  <c r="S5" i="6"/>
  <c r="S7" i="6"/>
  <c r="S6" i="6"/>
  <c r="S13" i="6"/>
  <c r="AG18" i="7"/>
  <c r="AH19" i="7"/>
  <c r="AJ18" i="6"/>
  <c r="AI17" i="6"/>
  <c r="T4" i="6"/>
  <c r="T50" i="6" l="1"/>
  <c r="T51" i="6"/>
  <c r="T72" i="6"/>
  <c r="T66" i="6"/>
  <c r="T20" i="6"/>
  <c r="T68" i="6"/>
  <c r="T67" i="6"/>
  <c r="T54" i="6"/>
  <c r="T29" i="6"/>
  <c r="T63" i="6"/>
  <c r="T28" i="6"/>
  <c r="T55" i="6"/>
  <c r="T15" i="6"/>
  <c r="T61" i="6"/>
  <c r="T59" i="6"/>
  <c r="T56" i="6"/>
  <c r="T19" i="6"/>
  <c r="T16" i="6"/>
  <c r="T52" i="6"/>
  <c r="T40" i="6"/>
  <c r="T45" i="6"/>
  <c r="T21" i="6"/>
  <c r="T39" i="6"/>
  <c r="T11" i="6"/>
  <c r="T18" i="6"/>
  <c r="T23" i="6"/>
  <c r="T27" i="6"/>
  <c r="T33" i="6"/>
  <c r="T43" i="6"/>
  <c r="T62" i="6"/>
  <c r="T71" i="6"/>
  <c r="T64" i="6"/>
  <c r="T31" i="6"/>
  <c r="T35" i="6"/>
  <c r="T34" i="6"/>
  <c r="T22" i="6"/>
  <c r="T69" i="6"/>
  <c r="T70" i="6"/>
  <c r="T38" i="6"/>
  <c r="T53" i="6"/>
  <c r="T46" i="6"/>
  <c r="T47" i="6"/>
  <c r="T44" i="6"/>
  <c r="T25" i="6"/>
  <c r="T14" i="6"/>
  <c r="T58" i="6"/>
  <c r="T36" i="6"/>
  <c r="T37" i="6"/>
  <c r="T24" i="6"/>
  <c r="T17" i="6"/>
  <c r="T30" i="6"/>
  <c r="T60" i="6"/>
  <c r="T41" i="6"/>
  <c r="T12" i="6"/>
  <c r="T32" i="6"/>
  <c r="T42" i="6"/>
  <c r="T57" i="6"/>
  <c r="T48" i="6"/>
  <c r="T8" i="6"/>
  <c r="T9" i="6"/>
  <c r="T26" i="6"/>
  <c r="T10" i="6"/>
  <c r="T7" i="6"/>
  <c r="T5" i="6"/>
  <c r="T6" i="6"/>
  <c r="T13" i="6"/>
  <c r="A32" i="1"/>
  <c r="AB31" i="7"/>
  <c r="E31" i="7" s="1"/>
  <c r="G31" i="7" s="1"/>
  <c r="AG19" i="7"/>
  <c r="AH20" i="7"/>
  <c r="AI18" i="6"/>
  <c r="AJ19" i="6"/>
  <c r="U4" i="6"/>
  <c r="U67" i="6" l="1"/>
  <c r="U66" i="6"/>
  <c r="U50" i="6"/>
  <c r="U51" i="6"/>
  <c r="U68" i="6"/>
  <c r="U72" i="6"/>
  <c r="U20" i="6"/>
  <c r="U55" i="6"/>
  <c r="U52" i="6"/>
  <c r="U54" i="6"/>
  <c r="U40" i="6"/>
  <c r="U45" i="6"/>
  <c r="U21" i="6"/>
  <c r="U28" i="6"/>
  <c r="U56" i="6"/>
  <c r="U15" i="6"/>
  <c r="U61" i="6"/>
  <c r="U59" i="6"/>
  <c r="U11" i="6"/>
  <c r="U16" i="6"/>
  <c r="U29" i="6"/>
  <c r="U63" i="6"/>
  <c r="U39" i="6"/>
  <c r="U19" i="6"/>
  <c r="U70" i="6"/>
  <c r="U38" i="6"/>
  <c r="U31" i="6"/>
  <c r="U53" i="6"/>
  <c r="U46" i="6"/>
  <c r="U47" i="6"/>
  <c r="U44" i="6"/>
  <c r="U25" i="6"/>
  <c r="U35" i="6"/>
  <c r="U22" i="6"/>
  <c r="U62" i="6"/>
  <c r="U64" i="6"/>
  <c r="U18" i="6"/>
  <c r="U34" i="6"/>
  <c r="U42" i="6"/>
  <c r="U71" i="6"/>
  <c r="U27" i="6"/>
  <c r="U14" i="6"/>
  <c r="U58" i="6"/>
  <c r="U43" i="6"/>
  <c r="U33" i="6"/>
  <c r="U12" i="6"/>
  <c r="U60" i="6"/>
  <c r="U48" i="6"/>
  <c r="U32" i="6"/>
  <c r="U24" i="6"/>
  <c r="U57" i="6"/>
  <c r="U17" i="6"/>
  <c r="U37" i="6"/>
  <c r="U69" i="6"/>
  <c r="U23" i="6"/>
  <c r="U36" i="6"/>
  <c r="U30" i="6"/>
  <c r="U41" i="6"/>
  <c r="U10" i="6"/>
  <c r="U8" i="6"/>
  <c r="U26" i="6"/>
  <c r="U9" i="6"/>
  <c r="U5" i="6"/>
  <c r="U7" i="6"/>
  <c r="U6" i="6"/>
  <c r="U13" i="6"/>
  <c r="A33" i="1"/>
  <c r="AB32" i="7"/>
  <c r="E32" i="7" s="1"/>
  <c r="G32" i="7" s="1"/>
  <c r="AH21" i="7"/>
  <c r="AG20" i="7"/>
  <c r="AI19" i="6"/>
  <c r="AJ20" i="6"/>
  <c r="V4" i="6"/>
  <c r="A34" i="1" l="1"/>
  <c r="AB33" i="7"/>
  <c r="E33" i="7" s="1"/>
  <c r="G33" i="7" s="1"/>
  <c r="V51" i="6"/>
  <c r="V67" i="6"/>
  <c r="V66" i="6"/>
  <c r="V72" i="6"/>
  <c r="V50" i="6"/>
  <c r="V68" i="6"/>
  <c r="V20" i="6"/>
  <c r="V55" i="6"/>
  <c r="V54" i="6"/>
  <c r="V15" i="6"/>
  <c r="V40" i="6"/>
  <c r="V19" i="6"/>
  <c r="V28" i="6"/>
  <c r="V11" i="6"/>
  <c r="V56" i="6"/>
  <c r="V16" i="6"/>
  <c r="V59" i="6"/>
  <c r="V63" i="6"/>
  <c r="V52" i="6"/>
  <c r="V29" i="6"/>
  <c r="V61" i="6"/>
  <c r="V45" i="6"/>
  <c r="V39" i="6"/>
  <c r="V21" i="6"/>
  <c r="V38" i="6"/>
  <c r="V46" i="6"/>
  <c r="V35" i="6"/>
  <c r="V14" i="6"/>
  <c r="V22" i="6"/>
  <c r="V30" i="6"/>
  <c r="V62" i="6"/>
  <c r="V64" i="6"/>
  <c r="V18" i="6"/>
  <c r="V25" i="6"/>
  <c r="V34" i="6"/>
  <c r="V42" i="6"/>
  <c r="V69" i="6"/>
  <c r="V53" i="6"/>
  <c r="V23" i="6"/>
  <c r="V44" i="6"/>
  <c r="V27" i="6"/>
  <c r="V58" i="6"/>
  <c r="V43" i="6"/>
  <c r="V32" i="6"/>
  <c r="V24" i="6"/>
  <c r="V57" i="6"/>
  <c r="V17" i="6"/>
  <c r="V48" i="6"/>
  <c r="V70" i="6"/>
  <c r="V31" i="6"/>
  <c r="V33" i="6"/>
  <c r="V37" i="6"/>
  <c r="V60" i="6"/>
  <c r="V41" i="6"/>
  <c r="V36" i="6"/>
  <c r="V71" i="6"/>
  <c r="V47" i="6"/>
  <c r="V12" i="6"/>
  <c r="V8" i="6"/>
  <c r="V10" i="6"/>
  <c r="V26" i="6"/>
  <c r="V9" i="6"/>
  <c r="V7" i="6"/>
  <c r="V5" i="6"/>
  <c r="V6" i="6"/>
  <c r="V13" i="6"/>
  <c r="AG21" i="7"/>
  <c r="AH22" i="7"/>
  <c r="AI20" i="6"/>
  <c r="AJ21" i="6"/>
  <c r="W4" i="6"/>
  <c r="W20" i="6" l="1"/>
  <c r="W66" i="6"/>
  <c r="W55" i="6"/>
  <c r="W51" i="6"/>
  <c r="W72" i="6"/>
  <c r="W67" i="6"/>
  <c r="W50" i="6"/>
  <c r="W68" i="6"/>
  <c r="W40" i="6"/>
  <c r="W61" i="6"/>
  <c r="W59" i="6"/>
  <c r="W63" i="6"/>
  <c r="W21" i="6"/>
  <c r="W11" i="6"/>
  <c r="W29" i="6"/>
  <c r="W38" i="6"/>
  <c r="W28" i="6"/>
  <c r="W15" i="6"/>
  <c r="W45" i="6"/>
  <c r="W56" i="6"/>
  <c r="W39" i="6"/>
  <c r="W19" i="6"/>
  <c r="W16" i="6"/>
  <c r="W52" i="6"/>
  <c r="W54" i="6"/>
  <c r="W69" i="6"/>
  <c r="W32" i="6"/>
  <c r="W64" i="6"/>
  <c r="W53" i="6"/>
  <c r="W18" i="6"/>
  <c r="W47" i="6"/>
  <c r="W44" i="6"/>
  <c r="W25" i="6"/>
  <c r="W36" i="6"/>
  <c r="W37" i="6"/>
  <c r="W24" i="6"/>
  <c r="W71" i="6"/>
  <c r="W31" i="6"/>
  <c r="W23" i="6"/>
  <c r="W27" i="6"/>
  <c r="W35" i="6"/>
  <c r="W33" i="6"/>
  <c r="W14" i="6"/>
  <c r="W22" i="6"/>
  <c r="W58" i="6"/>
  <c r="W30" i="6"/>
  <c r="W62" i="6"/>
  <c r="W41" i="6"/>
  <c r="W48" i="6"/>
  <c r="W46" i="6"/>
  <c r="W57" i="6"/>
  <c r="W60" i="6"/>
  <c r="W12" i="6"/>
  <c r="W70" i="6"/>
  <c r="W34" i="6"/>
  <c r="W43" i="6"/>
  <c r="W42" i="6"/>
  <c r="W17" i="6"/>
  <c r="W10" i="6"/>
  <c r="W26" i="6"/>
  <c r="W9" i="6"/>
  <c r="W8" i="6"/>
  <c r="W5" i="6"/>
  <c r="W7" i="6"/>
  <c r="W6" i="6"/>
  <c r="W13" i="6"/>
  <c r="A35" i="1"/>
  <c r="AB34" i="7"/>
  <c r="E34" i="7" s="1"/>
  <c r="G34" i="7" s="1"/>
  <c r="AG22" i="7"/>
  <c r="AH23" i="7"/>
  <c r="AJ22" i="6"/>
  <c r="AI21" i="6"/>
  <c r="X4" i="6"/>
  <c r="X50" i="6" l="1"/>
  <c r="X68" i="6"/>
  <c r="X51" i="6"/>
  <c r="X55" i="6"/>
  <c r="X72" i="6"/>
  <c r="X66" i="6"/>
  <c r="X67" i="6"/>
  <c r="X20" i="6"/>
  <c r="X19" i="6"/>
  <c r="X56" i="6"/>
  <c r="X39" i="6"/>
  <c r="X54" i="6"/>
  <c r="X28" i="6"/>
  <c r="X16" i="6"/>
  <c r="X29" i="6"/>
  <c r="X61" i="6"/>
  <c r="X59" i="6"/>
  <c r="X11" i="6"/>
  <c r="X21" i="6"/>
  <c r="X52" i="6"/>
  <c r="X15" i="6"/>
  <c r="X40" i="6"/>
  <c r="X45" i="6"/>
  <c r="X63" i="6"/>
  <c r="X71" i="6"/>
  <c r="X27" i="6"/>
  <c r="X58" i="6"/>
  <c r="X37" i="6"/>
  <c r="X70" i="6"/>
  <c r="X18" i="6"/>
  <c r="X23" i="6"/>
  <c r="X38" i="6"/>
  <c r="X31" i="6"/>
  <c r="X53" i="6"/>
  <c r="X47" i="6"/>
  <c r="X35" i="6"/>
  <c r="X33" i="6"/>
  <c r="X14" i="6"/>
  <c r="X36" i="6"/>
  <c r="X43" i="6"/>
  <c r="X30" i="6"/>
  <c r="X17" i="6"/>
  <c r="X25" i="6"/>
  <c r="X32" i="6"/>
  <c r="X62" i="6"/>
  <c r="X48" i="6"/>
  <c r="X41" i="6"/>
  <c r="X22" i="6"/>
  <c r="X60" i="6"/>
  <c r="X69" i="6"/>
  <c r="X64" i="6"/>
  <c r="X46" i="6"/>
  <c r="X44" i="6"/>
  <c r="X24" i="6"/>
  <c r="X34" i="6"/>
  <c r="X42" i="6"/>
  <c r="X57" i="6"/>
  <c r="X12" i="6"/>
  <c r="X26" i="6"/>
  <c r="X8" i="6"/>
  <c r="X9" i="6"/>
  <c r="X10" i="6"/>
  <c r="X7" i="6"/>
  <c r="X5" i="6"/>
  <c r="X6" i="6"/>
  <c r="X13" i="6"/>
  <c r="A36" i="1"/>
  <c r="AB35" i="7"/>
  <c r="E35" i="7" s="1"/>
  <c r="G35" i="7" s="1"/>
  <c r="AG23" i="7"/>
  <c r="AH24" i="7"/>
  <c r="AI22" i="6"/>
  <c r="AJ23" i="6"/>
  <c r="Y4" i="6"/>
  <c r="Y67" i="6" l="1"/>
  <c r="Y68" i="6"/>
  <c r="Y66" i="6"/>
  <c r="Y20" i="6"/>
  <c r="Y72" i="6"/>
  <c r="Y50" i="6"/>
  <c r="Y51" i="6"/>
  <c r="Y55" i="6"/>
  <c r="Y40" i="6"/>
  <c r="Y59" i="6"/>
  <c r="Y19" i="6"/>
  <c r="Y45" i="6"/>
  <c r="Y12" i="6"/>
  <c r="Y16" i="6"/>
  <c r="Y52" i="6"/>
  <c r="Y29" i="6"/>
  <c r="Y63" i="6"/>
  <c r="Y28" i="6"/>
  <c r="Y61" i="6"/>
  <c r="Y54" i="6"/>
  <c r="Y21" i="6"/>
  <c r="Y56" i="6"/>
  <c r="Y11" i="6"/>
  <c r="Y15" i="6"/>
  <c r="Y39" i="6"/>
  <c r="Y69" i="6"/>
  <c r="Y70" i="6"/>
  <c r="Y53" i="6"/>
  <c r="Y18" i="6"/>
  <c r="Y23" i="6"/>
  <c r="Y71" i="6"/>
  <c r="Y38" i="6"/>
  <c r="Y32" i="6"/>
  <c r="Y31" i="6"/>
  <c r="Y46" i="6"/>
  <c r="Y47" i="6"/>
  <c r="Y44" i="6"/>
  <c r="Y27" i="6"/>
  <c r="Y35" i="6"/>
  <c r="Y33" i="6"/>
  <c r="Y36" i="6"/>
  <c r="Y43" i="6"/>
  <c r="Y62" i="6"/>
  <c r="Y24" i="6"/>
  <c r="Y64" i="6"/>
  <c r="Y25" i="6"/>
  <c r="Y34" i="6"/>
  <c r="Y14" i="6"/>
  <c r="Y22" i="6"/>
  <c r="Y57" i="6"/>
  <c r="Y48" i="6"/>
  <c r="Y60" i="6"/>
  <c r="Y37" i="6"/>
  <c r="Y41" i="6"/>
  <c r="Y30" i="6"/>
  <c r="Y17" i="6"/>
  <c r="Y42" i="6"/>
  <c r="Y58" i="6"/>
  <c r="Y26" i="6"/>
  <c r="Y10" i="6"/>
  <c r="Y8" i="6"/>
  <c r="Y9" i="6"/>
  <c r="Y7" i="6"/>
  <c r="Y5" i="6"/>
  <c r="Y6" i="6"/>
  <c r="Y13" i="6"/>
  <c r="A37" i="1"/>
  <c r="AB36" i="7"/>
  <c r="E36" i="7" s="1"/>
  <c r="G36" i="7" s="1"/>
  <c r="AH25" i="7"/>
  <c r="AG24" i="7"/>
  <c r="AI23" i="6"/>
  <c r="AJ24" i="6"/>
  <c r="E8" i="7"/>
  <c r="Z4" i="6"/>
  <c r="E5" i="7"/>
  <c r="A38" i="1" l="1"/>
  <c r="AB37" i="7"/>
  <c r="E37" i="7" s="1"/>
  <c r="G37" i="7" s="1"/>
  <c r="Z67" i="6"/>
  <c r="Z68" i="6"/>
  <c r="Z50" i="6"/>
  <c r="Z20" i="6"/>
  <c r="Z72" i="6"/>
  <c r="Z66" i="6"/>
  <c r="Z51" i="6"/>
  <c r="Z52" i="6"/>
  <c r="Z63" i="6"/>
  <c r="Z21" i="6"/>
  <c r="Z59" i="6"/>
  <c r="Z19" i="6"/>
  <c r="Z56" i="6"/>
  <c r="Z55" i="6"/>
  <c r="Z16" i="6"/>
  <c r="Z40" i="6"/>
  <c r="Z61" i="6"/>
  <c r="Z28" i="6"/>
  <c r="Z11" i="6"/>
  <c r="Z54" i="6"/>
  <c r="Z15" i="6"/>
  <c r="Z29" i="6"/>
  <c r="Z45" i="6"/>
  <c r="Z39" i="6"/>
  <c r="Z38" i="6"/>
  <c r="Z71" i="6"/>
  <c r="Z32" i="6"/>
  <c r="Z31" i="6"/>
  <c r="Z46" i="6"/>
  <c r="Z47" i="6"/>
  <c r="Z27" i="6"/>
  <c r="Z36" i="6"/>
  <c r="Z43" i="6"/>
  <c r="Z62" i="6"/>
  <c r="Z37" i="6"/>
  <c r="Z64" i="6"/>
  <c r="Z53" i="6"/>
  <c r="Z33" i="6"/>
  <c r="Z22" i="6"/>
  <c r="Z18" i="6"/>
  <c r="Z44" i="6"/>
  <c r="Z25" i="6"/>
  <c r="Z34" i="6"/>
  <c r="Z14" i="6"/>
  <c r="Z58" i="6"/>
  <c r="Z69" i="6"/>
  <c r="Z30" i="6"/>
  <c r="Z24" i="6"/>
  <c r="Z12" i="6"/>
  <c r="Z42" i="6"/>
  <c r="Z17" i="6"/>
  <c r="Z41" i="6"/>
  <c r="Z23" i="6"/>
  <c r="Z35" i="6"/>
  <c r="Z48" i="6"/>
  <c r="Z70" i="6"/>
  <c r="Z57" i="6"/>
  <c r="Z60" i="6"/>
  <c r="Z8" i="6"/>
  <c r="Z10" i="6"/>
  <c r="Z26" i="6"/>
  <c r="Z9" i="6"/>
  <c r="Z5" i="6"/>
  <c r="Z7" i="6"/>
  <c r="Z6" i="6"/>
  <c r="Z13" i="6"/>
  <c r="AG25" i="7"/>
  <c r="AH26" i="7"/>
  <c r="AI24" i="6"/>
  <c r="AJ25" i="6"/>
  <c r="G5" i="7"/>
  <c r="G8" i="7"/>
  <c r="E6" i="7"/>
  <c r="G6" i="7" s="1"/>
  <c r="E9" i="7"/>
  <c r="G9" i="7" s="1"/>
  <c r="AA4" i="6"/>
  <c r="AA51" i="6" l="1"/>
  <c r="AA68" i="6"/>
  <c r="AA66" i="6"/>
  <c r="AA67" i="6"/>
  <c r="AA72" i="6"/>
  <c r="AA50" i="6"/>
  <c r="AA20" i="6"/>
  <c r="AA16" i="6"/>
  <c r="AA29" i="6"/>
  <c r="AA56" i="6"/>
  <c r="AA11" i="6"/>
  <c r="AA52" i="6"/>
  <c r="AA54" i="6"/>
  <c r="AA15" i="6"/>
  <c r="AA39" i="6"/>
  <c r="AA40" i="6"/>
  <c r="AA61" i="6"/>
  <c r="AA63" i="6"/>
  <c r="AA55" i="6"/>
  <c r="AA59" i="6"/>
  <c r="AA19" i="6"/>
  <c r="AA21" i="6"/>
  <c r="AA28" i="6"/>
  <c r="AA45" i="6"/>
  <c r="AA70" i="6"/>
  <c r="AA64" i="6"/>
  <c r="AA33" i="6"/>
  <c r="AA22" i="6"/>
  <c r="AA71" i="6"/>
  <c r="AA69" i="6"/>
  <c r="AA44" i="6"/>
  <c r="AA25" i="6"/>
  <c r="AA34" i="6"/>
  <c r="AA14" i="6"/>
  <c r="AA58" i="6"/>
  <c r="AA37" i="6"/>
  <c r="AA42" i="6"/>
  <c r="AA23" i="6"/>
  <c r="AA35" i="6"/>
  <c r="AA30" i="6"/>
  <c r="AA31" i="6"/>
  <c r="AA57" i="6"/>
  <c r="AA12" i="6"/>
  <c r="AA43" i="6"/>
  <c r="AA60" i="6"/>
  <c r="AA62" i="6"/>
  <c r="AA24" i="6"/>
  <c r="AA48" i="6"/>
  <c r="AA41" i="6"/>
  <c r="AA38" i="6"/>
  <c r="AA53" i="6"/>
  <c r="AA18" i="6"/>
  <c r="AA46" i="6"/>
  <c r="AA36" i="6"/>
  <c r="AA32" i="6"/>
  <c r="AA47" i="6"/>
  <c r="AA27" i="6"/>
  <c r="AA17" i="6"/>
  <c r="AA26" i="6"/>
  <c r="AA10" i="6"/>
  <c r="AA9" i="6"/>
  <c r="AA8" i="6"/>
  <c r="AA7" i="6"/>
  <c r="AA5" i="6"/>
  <c r="AA6" i="6"/>
  <c r="AA13" i="6"/>
  <c r="A39" i="1"/>
  <c r="AB38" i="7"/>
  <c r="E38" i="7" s="1"/>
  <c r="G38" i="7" s="1"/>
  <c r="AG26" i="7"/>
  <c r="AH27" i="7"/>
  <c r="AJ26" i="6"/>
  <c r="AI25" i="6"/>
  <c r="E7" i="7"/>
  <c r="G7" i="7" s="1"/>
  <c r="AB4" i="6"/>
  <c r="AB50" i="6" l="1"/>
  <c r="AB68" i="6"/>
  <c r="AB67" i="6"/>
  <c r="AB72" i="6"/>
  <c r="AB51" i="6"/>
  <c r="AB66" i="6"/>
  <c r="AB20" i="6"/>
  <c r="AB55" i="6"/>
  <c r="AB15" i="6"/>
  <c r="AB61" i="6"/>
  <c r="AB38" i="6"/>
  <c r="AB21" i="6"/>
  <c r="AB28" i="6"/>
  <c r="AB39" i="6"/>
  <c r="AB16" i="6"/>
  <c r="AB54" i="6"/>
  <c r="AB59" i="6"/>
  <c r="AB19" i="6"/>
  <c r="AB45" i="6"/>
  <c r="AB11" i="6"/>
  <c r="AB29" i="6"/>
  <c r="AB52" i="6"/>
  <c r="AB40" i="6"/>
  <c r="AB63" i="6"/>
  <c r="AB56" i="6"/>
  <c r="AB44" i="6"/>
  <c r="AB25" i="6"/>
  <c r="AB14" i="6"/>
  <c r="AB58" i="6"/>
  <c r="AB37" i="6"/>
  <c r="AB53" i="6"/>
  <c r="AB18" i="6"/>
  <c r="AB23" i="6"/>
  <c r="AB34" i="6"/>
  <c r="AB70" i="6"/>
  <c r="AB32" i="6"/>
  <c r="AB31" i="6"/>
  <c r="AB46" i="6"/>
  <c r="AB47" i="6"/>
  <c r="AB27" i="6"/>
  <c r="AB33" i="6"/>
  <c r="AB36" i="6"/>
  <c r="AB43" i="6"/>
  <c r="AB30" i="6"/>
  <c r="AB62" i="6"/>
  <c r="AB24" i="6"/>
  <c r="AB42" i="6"/>
  <c r="AB17" i="6"/>
  <c r="AB60" i="6"/>
  <c r="AB41" i="6"/>
  <c r="AB48" i="6"/>
  <c r="AB12" i="6"/>
  <c r="AB22" i="6"/>
  <c r="AB69" i="6"/>
  <c r="AB64" i="6"/>
  <c r="AB35" i="6"/>
  <c r="AB57" i="6"/>
  <c r="AB71" i="6"/>
  <c r="AB26" i="6"/>
  <c r="AB8" i="6"/>
  <c r="AB9" i="6"/>
  <c r="AB10" i="6"/>
  <c r="AB5" i="6"/>
  <c r="AB7" i="6"/>
  <c r="AB6" i="6"/>
  <c r="AB13" i="6"/>
  <c r="A40" i="1"/>
  <c r="AB39" i="7"/>
  <c r="E39" i="7" s="1"/>
  <c r="G39" i="7" s="1"/>
  <c r="AH28" i="7"/>
  <c r="AG27" i="7"/>
  <c r="AI26" i="6"/>
  <c r="AJ27" i="6"/>
  <c r="E10" i="7"/>
  <c r="G10" i="7" s="1"/>
  <c r="AC4" i="6"/>
  <c r="AC67" i="6" l="1"/>
  <c r="AC66" i="6"/>
  <c r="AC50" i="6"/>
  <c r="AC16" i="6"/>
  <c r="AC68" i="6"/>
  <c r="AC20" i="6"/>
  <c r="AC72" i="6"/>
  <c r="AC51" i="6"/>
  <c r="AC11" i="6"/>
  <c r="AC54" i="6"/>
  <c r="AC29" i="6"/>
  <c r="AC59" i="6"/>
  <c r="AC19" i="6"/>
  <c r="AC28" i="6"/>
  <c r="AC15" i="6"/>
  <c r="AC45" i="6"/>
  <c r="AC39" i="6"/>
  <c r="AC55" i="6"/>
  <c r="AC52" i="6"/>
  <c r="AC40" i="6"/>
  <c r="AC63" i="6"/>
  <c r="AC21" i="6"/>
  <c r="AC61" i="6"/>
  <c r="AC56" i="6"/>
  <c r="AC69" i="6"/>
  <c r="AC23" i="6"/>
  <c r="AC35" i="6"/>
  <c r="AC34" i="6"/>
  <c r="AC14" i="6"/>
  <c r="AC30" i="6"/>
  <c r="AC38" i="6"/>
  <c r="AC70" i="6"/>
  <c r="AC32" i="6"/>
  <c r="AC31" i="6"/>
  <c r="AC46" i="6"/>
  <c r="AC47" i="6"/>
  <c r="AC44" i="6"/>
  <c r="AC25" i="6"/>
  <c r="AC27" i="6"/>
  <c r="AC33" i="6"/>
  <c r="AC36" i="6"/>
  <c r="AC43" i="6"/>
  <c r="AC62" i="6"/>
  <c r="AC24" i="6"/>
  <c r="AC71" i="6"/>
  <c r="AC64" i="6"/>
  <c r="AC18" i="6"/>
  <c r="AC22" i="6"/>
  <c r="AC48" i="6"/>
  <c r="AC42" i="6"/>
  <c r="AC12" i="6"/>
  <c r="AC60" i="6"/>
  <c r="AC53" i="6"/>
  <c r="AC57" i="6"/>
  <c r="AC58" i="6"/>
  <c r="AC37" i="6"/>
  <c r="AC17" i="6"/>
  <c r="AC41" i="6"/>
  <c r="AC8" i="6"/>
  <c r="AC10" i="6"/>
  <c r="AC9" i="6"/>
  <c r="AC26" i="6"/>
  <c r="AC7" i="6"/>
  <c r="AC5" i="6"/>
  <c r="F5" i="6" s="1"/>
  <c r="AC6" i="6"/>
  <c r="AC13" i="6"/>
  <c r="A41" i="1"/>
  <c r="AB40" i="7"/>
  <c r="E40" i="7" s="1"/>
  <c r="G40" i="7" s="1"/>
  <c r="AG28" i="7"/>
  <c r="AH29" i="7"/>
  <c r="AI27" i="6"/>
  <c r="AJ28" i="6"/>
  <c r="E13" i="7"/>
  <c r="G13" i="7" s="1"/>
  <c r="F60" i="6" l="1"/>
  <c r="AK60" i="6" s="1"/>
  <c r="F33" i="6"/>
  <c r="AK33" i="6" s="1"/>
  <c r="F34" i="6"/>
  <c r="AK34" i="6" s="1"/>
  <c r="F45" i="6"/>
  <c r="AK45" i="6" s="1"/>
  <c r="F51" i="6"/>
  <c r="AK51" i="6" s="1"/>
  <c r="F58" i="6"/>
  <c r="AK58" i="6" s="1"/>
  <c r="F12" i="6"/>
  <c r="AK12" i="6" s="1"/>
  <c r="F18" i="6"/>
  <c r="AK18" i="6" s="1"/>
  <c r="F62" i="6"/>
  <c r="AK62" i="6" s="1"/>
  <c r="F27" i="6"/>
  <c r="AK27" i="6" s="1"/>
  <c r="F46" i="6"/>
  <c r="AK46" i="6" s="1"/>
  <c r="F38" i="6"/>
  <c r="AK38" i="6" s="1"/>
  <c r="F35" i="6"/>
  <c r="AK35" i="6" s="1"/>
  <c r="F61" i="6"/>
  <c r="AK61" i="6" s="1"/>
  <c r="F52" i="6"/>
  <c r="AK52" i="6" s="1"/>
  <c r="F15" i="6"/>
  <c r="AK15" i="6" s="1"/>
  <c r="F29" i="6"/>
  <c r="AK29" i="6" s="1"/>
  <c r="F72" i="6"/>
  <c r="AK72" i="6" s="1"/>
  <c r="F50" i="6"/>
  <c r="AK50" i="6" s="1"/>
  <c r="F37" i="6"/>
  <c r="AK37" i="6" s="1"/>
  <c r="F24" i="6"/>
  <c r="AK24" i="6" s="1"/>
  <c r="F47" i="6"/>
  <c r="AK47" i="6" s="1"/>
  <c r="F56" i="6"/>
  <c r="AK56" i="6" s="1"/>
  <c r="F59" i="6"/>
  <c r="AK59" i="6" s="1"/>
  <c r="F7" i="6"/>
  <c r="AK7" i="6" s="1"/>
  <c r="F13" i="6"/>
  <c r="AK13" i="6" s="1"/>
  <c r="F26" i="6"/>
  <c r="AK26" i="6" s="1"/>
  <c r="F41" i="6"/>
  <c r="AK41" i="6" s="1"/>
  <c r="F57" i="6"/>
  <c r="AK57" i="6" s="1"/>
  <c r="F42" i="6"/>
  <c r="AK42" i="6" s="1"/>
  <c r="F64" i="6"/>
  <c r="AK64" i="6" s="1"/>
  <c r="F43" i="6"/>
  <c r="AK43" i="6" s="1"/>
  <c r="F25" i="6"/>
  <c r="AK25" i="6" s="1"/>
  <c r="F31" i="6"/>
  <c r="AK31" i="6" s="1"/>
  <c r="F30" i="6"/>
  <c r="AK30" i="6" s="1"/>
  <c r="F23" i="6"/>
  <c r="AK23" i="6" s="1"/>
  <c r="F21" i="6"/>
  <c r="AK21" i="6" s="1"/>
  <c r="F55" i="6"/>
  <c r="AK55" i="6" s="1"/>
  <c r="F28" i="6"/>
  <c r="AK28" i="6" s="1"/>
  <c r="F54" i="6"/>
  <c r="AK54" i="6" s="1"/>
  <c r="F20" i="6"/>
  <c r="AK20" i="6" s="1"/>
  <c r="F66" i="6"/>
  <c r="AK66" i="6" s="1"/>
  <c r="F10" i="6"/>
  <c r="AK10" i="6" s="1"/>
  <c r="F22" i="6"/>
  <c r="AK22" i="6" s="1"/>
  <c r="F70" i="6"/>
  <c r="AK70" i="6" s="1"/>
  <c r="F40" i="6"/>
  <c r="AK40" i="6" s="1"/>
  <c r="F16" i="6"/>
  <c r="AK16" i="6" s="1"/>
  <c r="F8" i="6"/>
  <c r="AK8" i="6" s="1"/>
  <c r="F6" i="6"/>
  <c r="AK6" i="6" s="1"/>
  <c r="F9" i="6"/>
  <c r="AK9" i="6" s="1"/>
  <c r="F17" i="6"/>
  <c r="AK17" i="6" s="1"/>
  <c r="F53" i="6"/>
  <c r="AK53" i="6" s="1"/>
  <c r="F48" i="6"/>
  <c r="AK48" i="6" s="1"/>
  <c r="F71" i="6"/>
  <c r="AK71" i="6" s="1"/>
  <c r="F36" i="6"/>
  <c r="AK36" i="6" s="1"/>
  <c r="F44" i="6"/>
  <c r="AK44" i="6" s="1"/>
  <c r="F32" i="6"/>
  <c r="AK32" i="6" s="1"/>
  <c r="F14" i="6"/>
  <c r="AK14" i="6" s="1"/>
  <c r="F69" i="6"/>
  <c r="AK69" i="6" s="1"/>
  <c r="F63" i="6"/>
  <c r="AK63" i="6" s="1"/>
  <c r="F39" i="6"/>
  <c r="AK39" i="6" s="1"/>
  <c r="F19" i="6"/>
  <c r="AK19" i="6" s="1"/>
  <c r="F11" i="6"/>
  <c r="AK11" i="6" s="1"/>
  <c r="F68" i="6"/>
  <c r="AK68" i="6" s="1"/>
  <c r="F67" i="6"/>
  <c r="AK67" i="6" s="1"/>
  <c r="AK5" i="6"/>
  <c r="A42" i="1"/>
  <c r="AB41" i="7"/>
  <c r="E41" i="7" s="1"/>
  <c r="G41" i="7" s="1"/>
  <c r="AG29" i="7"/>
  <c r="AH30" i="7"/>
  <c r="AJ29" i="6"/>
  <c r="AI28" i="6"/>
  <c r="A43" i="1" l="1"/>
  <c r="AB42" i="7"/>
  <c r="E42" i="7" s="1"/>
  <c r="G42" i="7" s="1"/>
  <c r="AG30" i="7"/>
  <c r="AH31" i="7"/>
  <c r="AJ30" i="6"/>
  <c r="AI29" i="6"/>
  <c r="A44" i="1" l="1"/>
  <c r="AB43" i="7"/>
  <c r="E43" i="7" s="1"/>
  <c r="G43" i="7" s="1"/>
  <c r="AG31" i="7"/>
  <c r="AH32" i="7"/>
  <c r="AI30" i="6"/>
  <c r="AJ31" i="6"/>
  <c r="A45" i="1" l="1"/>
  <c r="AB44" i="7"/>
  <c r="E44" i="7" s="1"/>
  <c r="G44" i="7" s="1"/>
  <c r="AG32" i="7"/>
  <c r="AH33" i="7"/>
  <c r="AI31" i="6"/>
  <c r="AJ32" i="6"/>
  <c r="A46" i="1" l="1"/>
  <c r="AB45" i="7"/>
  <c r="E45" i="7" s="1"/>
  <c r="G45" i="7" s="1"/>
  <c r="AG33" i="7"/>
  <c r="AH34" i="7"/>
  <c r="AJ33" i="6"/>
  <c r="AI32" i="6"/>
  <c r="A47" i="1" l="1"/>
  <c r="AB46" i="7"/>
  <c r="E46" i="7" s="1"/>
  <c r="G46" i="7" s="1"/>
  <c r="AG34" i="7"/>
  <c r="AH35" i="7"/>
  <c r="AJ34" i="6"/>
  <c r="AI33" i="6"/>
  <c r="A48" i="1" l="1"/>
  <c r="AB47" i="7"/>
  <c r="E47" i="7" s="1"/>
  <c r="G47" i="7" s="1"/>
  <c r="AG35" i="7"/>
  <c r="AH36" i="7"/>
  <c r="AI34" i="6"/>
  <c r="AJ35" i="6"/>
  <c r="A50" i="1" l="1"/>
  <c r="AB48" i="7"/>
  <c r="E48" i="7" s="1"/>
  <c r="G48" i="7" s="1"/>
  <c r="A49" i="1"/>
  <c r="AB49" i="7" s="1"/>
  <c r="AH37" i="7"/>
  <c r="AG36" i="7"/>
  <c r="AI35" i="6"/>
  <c r="AJ36" i="6"/>
  <c r="A51" i="1" l="1"/>
  <c r="AB50" i="7"/>
  <c r="AG37" i="7"/>
  <c r="AH38" i="7"/>
  <c r="AJ37" i="6"/>
  <c r="AI36" i="6"/>
  <c r="A52" i="1" l="1"/>
  <c r="AB51" i="7"/>
  <c r="AG38" i="7"/>
  <c r="AH39" i="7"/>
  <c r="AJ38" i="6"/>
  <c r="AI37" i="6"/>
  <c r="A53" i="1" l="1"/>
  <c r="AB52" i="7"/>
  <c r="E52" i="7" s="1"/>
  <c r="G52" i="7" s="1"/>
  <c r="AH40" i="7"/>
  <c r="AG39" i="7"/>
  <c r="AI38" i="6"/>
  <c r="AJ39" i="6"/>
  <c r="A54" i="1" l="1"/>
  <c r="AB53" i="7"/>
  <c r="E53" i="7" s="1"/>
  <c r="G53" i="7" s="1"/>
  <c r="AG40" i="7"/>
  <c r="AH41" i="7"/>
  <c r="AI39" i="6"/>
  <c r="AJ40" i="6"/>
  <c r="A55" i="1" l="1"/>
  <c r="AB54" i="7"/>
  <c r="E54" i="7" s="1"/>
  <c r="G54" i="7" s="1"/>
  <c r="AG41" i="7"/>
  <c r="AH42" i="7"/>
  <c r="AJ41" i="6"/>
  <c r="AI40" i="6"/>
  <c r="A56" i="1" l="1"/>
  <c r="AB55" i="7"/>
  <c r="E55" i="7" s="1"/>
  <c r="G55" i="7" s="1"/>
  <c r="AG42" i="7"/>
  <c r="AH43" i="7"/>
  <c r="AJ42" i="6"/>
  <c r="AI41" i="6"/>
  <c r="A57" i="1" l="1"/>
  <c r="AB56" i="7"/>
  <c r="E56" i="7" s="1"/>
  <c r="G56" i="7" s="1"/>
  <c r="AG43" i="7"/>
  <c r="AH44" i="7"/>
  <c r="AI42" i="6"/>
  <c r="AJ43" i="6"/>
  <c r="A58" i="1" l="1"/>
  <c r="AB57" i="7"/>
  <c r="E57" i="7" s="1"/>
  <c r="G57" i="7" s="1"/>
  <c r="AH45" i="7"/>
  <c r="AG44" i="7"/>
  <c r="AJ44" i="6"/>
  <c r="AI43" i="6"/>
  <c r="A59" i="1" l="1"/>
  <c r="AB58" i="7"/>
  <c r="E58" i="7" s="1"/>
  <c r="G58" i="7" s="1"/>
  <c r="AG45" i="7"/>
  <c r="AH46" i="7"/>
  <c r="AJ45" i="6"/>
  <c r="AI44" i="6"/>
  <c r="A60" i="1" l="1"/>
  <c r="AB59" i="7"/>
  <c r="E59" i="7" s="1"/>
  <c r="G59" i="7" s="1"/>
  <c r="AG46" i="7"/>
  <c r="AH47" i="7"/>
  <c r="AJ46" i="6"/>
  <c r="AI45" i="6"/>
  <c r="A61" i="1" l="1"/>
  <c r="AB60" i="7"/>
  <c r="E60" i="7" s="1"/>
  <c r="G60" i="7" s="1"/>
  <c r="AG47" i="7"/>
  <c r="AH48" i="7"/>
  <c r="AI46" i="6"/>
  <c r="AJ47" i="6"/>
  <c r="A62" i="1" l="1"/>
  <c r="AB61" i="7"/>
  <c r="E61" i="7" s="1"/>
  <c r="G61" i="7" s="1"/>
  <c r="AG48" i="7"/>
  <c r="AH49" i="7"/>
  <c r="AI47" i="6"/>
  <c r="AJ48" i="6"/>
  <c r="A63" i="1" l="1"/>
  <c r="AB62" i="7"/>
  <c r="E62" i="7" s="1"/>
  <c r="G62" i="7" s="1"/>
  <c r="AH50" i="7"/>
  <c r="AJ49" i="6"/>
  <c r="AI48" i="6"/>
  <c r="A64" i="1" l="1"/>
  <c r="AB63" i="7"/>
  <c r="E63" i="7" s="1"/>
  <c r="G63" i="7" s="1"/>
  <c r="AG50" i="7"/>
  <c r="AH51" i="7"/>
  <c r="AJ50" i="6"/>
  <c r="A65" i="1" l="1"/>
  <c r="AB64" i="7"/>
  <c r="E64" i="7" s="1"/>
  <c r="G64" i="7" s="1"/>
  <c r="AH52" i="7"/>
  <c r="AG51" i="7"/>
  <c r="AI50" i="6"/>
  <c r="AJ51" i="6"/>
  <c r="A66" i="1" l="1"/>
  <c r="AB65" i="7"/>
  <c r="AG52" i="7"/>
  <c r="AH53" i="7"/>
  <c r="AI51" i="6"/>
  <c r="AJ52" i="6"/>
  <c r="A67" i="1" l="1"/>
  <c r="AB66" i="7"/>
  <c r="AG53" i="7"/>
  <c r="AH54" i="7"/>
  <c r="AJ53" i="6"/>
  <c r="AI52" i="6"/>
  <c r="A68" i="1" l="1"/>
  <c r="AB67" i="7"/>
  <c r="AG54" i="7"/>
  <c r="AH55" i="7"/>
  <c r="AJ54" i="6"/>
  <c r="AI53" i="6"/>
  <c r="A69" i="1" l="1"/>
  <c r="AB68" i="7"/>
  <c r="E68" i="7" s="1"/>
  <c r="G68" i="7" s="1"/>
  <c r="AG55" i="7"/>
  <c r="AH56" i="7"/>
  <c r="AI54" i="6"/>
  <c r="AJ55" i="6"/>
  <c r="A70" i="1" l="1"/>
  <c r="AB69" i="7"/>
  <c r="E69" i="7" s="1"/>
  <c r="G69" i="7" s="1"/>
  <c r="AH57" i="7"/>
  <c r="AG56" i="7"/>
  <c r="AI55" i="6"/>
  <c r="AJ56" i="6"/>
  <c r="A71" i="1" l="1"/>
  <c r="AB70" i="7"/>
  <c r="E70" i="7" s="1"/>
  <c r="G70" i="7" s="1"/>
  <c r="AG57" i="7"/>
  <c r="AH58" i="7"/>
  <c r="AJ57" i="6"/>
  <c r="AI56" i="6"/>
  <c r="AB71" i="7" l="1"/>
  <c r="E71" i="7" s="1"/>
  <c r="G71" i="7" s="1"/>
  <c r="A72" i="1"/>
  <c r="AB72" i="7" s="1"/>
  <c r="AG58" i="7"/>
  <c r="AH59" i="7"/>
  <c r="AJ58" i="6"/>
  <c r="AI57" i="6"/>
  <c r="AH60" i="7" l="1"/>
  <c r="AG59" i="7"/>
  <c r="AI58" i="6"/>
  <c r="AJ59" i="6"/>
  <c r="AH61" i="7" l="1"/>
  <c r="AG60" i="7"/>
  <c r="AJ60" i="6"/>
  <c r="AI59" i="6"/>
  <c r="AG61" i="7" l="1"/>
  <c r="AH62" i="7"/>
  <c r="AJ61" i="6"/>
  <c r="AI60" i="6"/>
  <c r="AG62" i="7" l="1"/>
  <c r="AH63" i="7"/>
  <c r="AJ62" i="6"/>
  <c r="AI61" i="6"/>
  <c r="AG63" i="7" l="1"/>
  <c r="AH64" i="7"/>
  <c r="AI62" i="6"/>
  <c r="AJ63" i="6"/>
  <c r="AG64" i="7" l="1"/>
  <c r="AH65" i="7"/>
  <c r="AI63" i="6"/>
  <c r="AJ64" i="6"/>
  <c r="AH66" i="7" l="1"/>
  <c r="AJ65" i="6"/>
  <c r="AI64" i="6"/>
  <c r="AJ66" i="6" l="1"/>
  <c r="AJ67" i="6" s="1"/>
  <c r="AH67" i="7"/>
  <c r="AG66" i="7"/>
  <c r="AI66" i="6" l="1"/>
  <c r="AH68" i="7"/>
  <c r="AG67" i="7"/>
  <c r="AI67" i="6"/>
  <c r="AJ68" i="6"/>
  <c r="AG68" i="7" l="1"/>
  <c r="AH69" i="7"/>
  <c r="AJ69" i="6"/>
  <c r="AI68" i="6"/>
  <c r="AG69" i="7" l="1"/>
  <c r="AH70" i="7"/>
  <c r="AJ70" i="6"/>
  <c r="AI69" i="6"/>
  <c r="AH71" i="7" l="1"/>
  <c r="AG70" i="7"/>
  <c r="AI70" i="6"/>
  <c r="AJ71" i="6"/>
  <c r="AG71" i="7" l="1"/>
  <c r="AH72" i="7"/>
  <c r="AG72" i="7" s="1"/>
  <c r="AJ72" i="6"/>
  <c r="AI71" i="6"/>
  <c r="AI72" i="6" l="1"/>
  <c r="R65" i="7"/>
  <c r="E49" i="7"/>
  <c r="AA49" i="7"/>
  <c r="V49" i="7"/>
  <c r="R49" i="7"/>
  <c r="M49" i="7"/>
  <c r="H49" i="7"/>
  <c r="X49" i="7"/>
  <c r="N49" i="7"/>
  <c r="L49" i="7"/>
  <c r="I49" i="7"/>
  <c r="F49" i="7"/>
  <c r="Z49" i="7"/>
  <c r="D49" i="7"/>
  <c r="G49" i="7"/>
  <c r="P49" i="7"/>
  <c r="Q49" i="7"/>
  <c r="T49" i="7"/>
  <c r="U49" i="7"/>
  <c r="W49" i="7"/>
  <c r="J49" i="7"/>
  <c r="Y49" i="7"/>
  <c r="K49" i="7"/>
  <c r="S49" i="7"/>
  <c r="O49" i="7"/>
  <c r="M65" i="7"/>
  <c r="AA65" i="7"/>
  <c r="I65" i="7"/>
  <c r="V65" i="7"/>
  <c r="K65" i="7"/>
  <c r="Q65" i="7"/>
  <c r="P65" i="7"/>
  <c r="X65" i="7"/>
  <c r="E65" i="7"/>
  <c r="G65" i="7"/>
  <c r="F65" i="7"/>
  <c r="S65" i="7"/>
  <c r="Z65" i="7"/>
  <c r="J65" i="7"/>
  <c r="W65" i="7"/>
  <c r="T65" i="7"/>
  <c r="D65" i="7"/>
  <c r="N65" i="7"/>
  <c r="H65" i="7"/>
  <c r="U65" i="7"/>
  <c r="Y65" i="7"/>
  <c r="L65" i="7"/>
  <c r="O65" i="7"/>
  <c r="J65" i="6" l="1"/>
  <c r="F65" i="6"/>
  <c r="AK65" i="6" s="1"/>
  <c r="P49" i="6"/>
  <c r="X65" i="6"/>
  <c r="L49" i="6"/>
  <c r="R49" i="6"/>
  <c r="W49" i="6"/>
  <c r="Y65" i="6"/>
  <c r="AB49" i="6"/>
  <c r="AC49" i="6"/>
  <c r="V49" i="6"/>
  <c r="T65" i="6"/>
  <c r="W65" i="6"/>
  <c r="M65" i="6"/>
  <c r="V65" i="6"/>
  <c r="Z65" i="6"/>
  <c r="G49" i="6"/>
  <c r="P65" i="6"/>
  <c r="K49" i="6"/>
  <c r="I65" i="6"/>
  <c r="H49" i="6"/>
  <c r="O65" i="6"/>
  <c r="AA65" i="6"/>
  <c r="O49" i="6"/>
  <c r="Q49" i="6"/>
  <c r="Q65" i="6"/>
  <c r="J49" i="6"/>
  <c r="AC65" i="6"/>
  <c r="AA49" i="6"/>
  <c r="T49" i="6"/>
  <c r="Z49" i="6"/>
  <c r="F49" i="6"/>
  <c r="AK49" i="6" s="1"/>
  <c r="U49" i="6"/>
  <c r="X49" i="6"/>
  <c r="G65" i="6"/>
  <c r="H65" i="6"/>
  <c r="S49" i="6"/>
  <c r="S65" i="6"/>
  <c r="Y49" i="6"/>
  <c r="N65" i="6"/>
  <c r="K65" i="6"/>
  <c r="AB65" i="6"/>
  <c r="U65" i="6"/>
  <c r="R65" i="6"/>
  <c r="M49" i="6"/>
  <c r="I49" i="6"/>
  <c r="N49" i="6"/>
  <c r="L6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Niall Doherty</author>
    <author>ndoherty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Type TOTAL in this column to create a total row.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Required to calculate No of pipes required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If junction type MH1 in 1st column and MH2 in 2nd.
For junctions off a branch type MH1/MH2 in 1st column.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Used to calculate rockers etc. (NON-ESSENTIAL)
</t>
        </r>
      </text>
    </comment>
    <comment ref="I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Used to calculate rockers etc. (NON-ESSENTIAL)
</t>
        </r>
      </text>
    </comment>
    <comment ref="M4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If standard pipes is not calculating check material &amp; dia have value on settings page
</t>
        </r>
      </text>
    </comment>
    <comment ref="O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Used to calculate add'l rocker pipes</t>
        </r>
      </text>
    </comment>
    <comment ref="P4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Use to add bed to depth calcs if not already included</t>
        </r>
      </text>
    </comment>
    <comment ref="Q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Use to set to a total row
N.B. All data in this row will be ignored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Niall Doherty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Depth to Invert Level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Depth to Invert Level</t>
        </r>
      </text>
    </comment>
    <comment ref="G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Enter starting depth here (e.g. 0.5)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Sue Doherty</author>
  </authors>
  <commentList>
    <comment ref="A4" authorId="0" shapeId="0" xr:uid="{00000000-0006-0000-0300-000001000000}">
      <text>
        <r>
          <rPr>
            <sz val="8"/>
            <color indexed="81"/>
            <rFont val="Tahoma"/>
            <family val="2"/>
          </rPr>
          <t>All pipes requiring a rest bend: SS, SVP, RWP etc.</t>
        </r>
      </text>
    </comment>
  </commentList>
</comments>
</file>

<file path=xl/sharedStrings.xml><?xml version="1.0" encoding="utf-8"?>
<sst xmlns="http://schemas.openxmlformats.org/spreadsheetml/2006/main" count="448" uniqueCount="165">
  <si>
    <t>Job Title:</t>
  </si>
  <si>
    <t>Job No:</t>
  </si>
  <si>
    <t>Date:</t>
  </si>
  <si>
    <t>DATA ENTRY</t>
  </si>
  <si>
    <t>C.L.</t>
  </si>
  <si>
    <t>I.L.</t>
  </si>
  <si>
    <t>Depth</t>
  </si>
  <si>
    <t>From (ID)</t>
  </si>
  <si>
    <t>Type</t>
  </si>
  <si>
    <t>ID Type's &amp; Allowances</t>
  </si>
  <si>
    <t>Downpipe</t>
  </si>
  <si>
    <t>Gully</t>
  </si>
  <si>
    <t>Rgully</t>
  </si>
  <si>
    <t>Ygully</t>
  </si>
  <si>
    <t>Aco</t>
  </si>
  <si>
    <t>Rest Bend</t>
  </si>
  <si>
    <t>Inlet Gully</t>
  </si>
  <si>
    <t>Rocker</t>
  </si>
  <si>
    <t>JunOb</t>
  </si>
  <si>
    <t>JunSq</t>
  </si>
  <si>
    <t>SadOb</t>
  </si>
  <si>
    <t>SadSq</t>
  </si>
  <si>
    <t>Road Gully</t>
  </si>
  <si>
    <t>Yard Gully</t>
  </si>
  <si>
    <t>Junction</t>
  </si>
  <si>
    <t>Saddle</t>
  </si>
  <si>
    <t>To (ID)</t>
  </si>
  <si>
    <t>Dia</t>
  </si>
  <si>
    <t>Length</t>
  </si>
  <si>
    <t>Fnd's X'd</t>
  </si>
  <si>
    <t>Manhole</t>
  </si>
  <si>
    <t>Bedding</t>
  </si>
  <si>
    <t>Run Location</t>
  </si>
  <si>
    <t>Oblique Junctions</t>
  </si>
  <si>
    <t>Product</t>
  </si>
  <si>
    <t>Clay</t>
  </si>
  <si>
    <t>Plastic</t>
  </si>
  <si>
    <t>Cast Iron</t>
  </si>
  <si>
    <t>Unassigned</t>
  </si>
  <si>
    <t>Square Junctions</t>
  </si>
  <si>
    <t>Bends</t>
  </si>
  <si>
    <t>Inlet</t>
  </si>
  <si>
    <t>Bed &amp; Surround</t>
  </si>
  <si>
    <t>Material</t>
  </si>
  <si>
    <t>(m)</t>
  </si>
  <si>
    <t>(ID)</t>
  </si>
  <si>
    <t>To</t>
  </si>
  <si>
    <t>From</t>
  </si>
  <si>
    <t>(ID) or (ID1/ID2)</t>
  </si>
  <si>
    <t>(mm)</t>
  </si>
  <si>
    <t>(No)</t>
  </si>
  <si>
    <t>TOTAL</t>
  </si>
  <si>
    <t>FLAG</t>
  </si>
  <si>
    <t>COUNT</t>
  </si>
  <si>
    <t>JUNCTION</t>
  </si>
  <si>
    <t>Ultrarib</t>
  </si>
  <si>
    <t>Twinwall</t>
  </si>
  <si>
    <t>Concrete</t>
  </si>
  <si>
    <t>Headwall</t>
  </si>
  <si>
    <t>Dwg(s):</t>
  </si>
  <si>
    <t>Take Off Rev:</t>
  </si>
  <si>
    <t>Gradient</t>
  </si>
  <si>
    <t>!!!DO NOT DELETE!!!</t>
  </si>
  <si>
    <t>Rod Eye</t>
  </si>
  <si>
    <t>Drawing(s):</t>
  </si>
  <si>
    <t>Revision:</t>
  </si>
  <si>
    <t>Diameter</t>
  </si>
  <si>
    <t>Dia (I.D.)</t>
  </si>
  <si>
    <t>Standard Pipes</t>
  </si>
  <si>
    <t>Rocker Pipes</t>
  </si>
  <si>
    <t>Add'l Couplings</t>
  </si>
  <si>
    <t>Fdn's X'd</t>
  </si>
  <si>
    <t>JUN ID</t>
  </si>
  <si>
    <t>!!CHECKSUM!!</t>
  </si>
  <si>
    <t>Change In Length</t>
  </si>
  <si>
    <t>STANDARD PIPE LENGTHS</t>
  </si>
  <si>
    <t>Item 1</t>
  </si>
  <si>
    <t>Item 2</t>
  </si>
  <si>
    <t>!!DO NOT DELETE!!</t>
  </si>
  <si>
    <t>FOR CALCS</t>
  </si>
  <si>
    <t>1 OR 0</t>
  </si>
  <si>
    <t>-</t>
  </si>
  <si>
    <t>Bed</t>
  </si>
  <si>
    <t>Depth (m)</t>
  </si>
  <si>
    <t>Trench Depth (m)</t>
  </si>
  <si>
    <t>Length
(m)</t>
  </si>
  <si>
    <t>SWMH03</t>
  </si>
  <si>
    <t>SWMH04</t>
  </si>
  <si>
    <t>G1</t>
  </si>
  <si>
    <t>G2</t>
  </si>
  <si>
    <t>G3</t>
  </si>
  <si>
    <t>SWMH02</t>
  </si>
  <si>
    <t>G4</t>
  </si>
  <si>
    <t>SWMH05</t>
  </si>
  <si>
    <t>G5</t>
  </si>
  <si>
    <t>G6</t>
  </si>
  <si>
    <t>G7</t>
  </si>
  <si>
    <t>SWMH06</t>
  </si>
  <si>
    <t>SWMH12</t>
  </si>
  <si>
    <t>RWP1</t>
  </si>
  <si>
    <t>RWP2</t>
  </si>
  <si>
    <t>RWP3</t>
  </si>
  <si>
    <t>G8</t>
  </si>
  <si>
    <t>G9</t>
  </si>
  <si>
    <t>SWMH13</t>
  </si>
  <si>
    <t>RWP4</t>
  </si>
  <si>
    <t>RWP5</t>
  </si>
  <si>
    <t>RWP6</t>
  </si>
  <si>
    <t>SWMH07</t>
  </si>
  <si>
    <t>SWMH11</t>
  </si>
  <si>
    <t>SWMH16</t>
  </si>
  <si>
    <t>RWP7</t>
  </si>
  <si>
    <t>RWP8</t>
  </si>
  <si>
    <t>RWP9</t>
  </si>
  <si>
    <t>RWP10</t>
  </si>
  <si>
    <t>G10</t>
  </si>
  <si>
    <t>SWMH10</t>
  </si>
  <si>
    <t>SWMH14</t>
  </si>
  <si>
    <t>RWP11</t>
  </si>
  <si>
    <t>RWP12</t>
  </si>
  <si>
    <t>RWP13</t>
  </si>
  <si>
    <t>G11</t>
  </si>
  <si>
    <t>SWMH08</t>
  </si>
  <si>
    <t>G12</t>
  </si>
  <si>
    <t>SWMH09</t>
  </si>
  <si>
    <t>G13</t>
  </si>
  <si>
    <t>SWMH17</t>
  </si>
  <si>
    <t>RWP14</t>
  </si>
  <si>
    <t>RWP15</t>
  </si>
  <si>
    <t>RWP16</t>
  </si>
  <si>
    <t>SWMH15</t>
  </si>
  <si>
    <t>RWP17</t>
  </si>
  <si>
    <t>RWP18</t>
  </si>
  <si>
    <t>RWP19</t>
  </si>
  <si>
    <t>Road Gullies</t>
  </si>
  <si>
    <t>Storm Water</t>
  </si>
  <si>
    <t>Foul Water</t>
  </si>
  <si>
    <t>FWMH04</t>
  </si>
  <si>
    <t>FWMH09</t>
  </si>
  <si>
    <t>SVP1</t>
  </si>
  <si>
    <t>SVP2</t>
  </si>
  <si>
    <t>FWMH11</t>
  </si>
  <si>
    <t>Ref</t>
  </si>
  <si>
    <t>Chamber Size</t>
  </si>
  <si>
    <t>Cover Level</t>
  </si>
  <si>
    <t>Invert Level</t>
  </si>
  <si>
    <t>Cover Size</t>
  </si>
  <si>
    <t>Loading</t>
  </si>
  <si>
    <t>M</t>
  </si>
  <si>
    <t>L</t>
  </si>
  <si>
    <t>N</t>
  </si>
  <si>
    <t>J</t>
  </si>
  <si>
    <t>SWMH01</t>
  </si>
  <si>
    <t>Site Title</t>
  </si>
  <si>
    <t>Drawing No - Rev</t>
  </si>
  <si>
    <t>Length column adjusted to include all depth columns up to 6.00m</t>
  </si>
  <si>
    <t>Depths</t>
  </si>
  <si>
    <t>Bed Depth amended to refer to current row bed not row above</t>
  </si>
  <si>
    <t>1:x</t>
  </si>
  <si>
    <t>Adjusted Gradient to make clear what it represents (1 in X m) and changed to display to 0 d.p.</t>
  </si>
  <si>
    <t>MH Schedule</t>
  </si>
  <si>
    <t>Changed tab colour to make clear it requires data entry to function</t>
  </si>
  <si>
    <t>Date</t>
  </si>
  <si>
    <t>Sheet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</si>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</sst>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[$-F800]dddd\,\ mmmm\ dd\,\ yyyy"/>
    <numFmt numFmtId="165" formatCode="0.000;[Red]\-0.000;&quot;&quot;"/>
    <numFmt numFmtId="166" formatCode="General;;&quot;&quot;"/>
    <numFmt numFmtId="167" formatCode="0.00;;&quot;&quot;"/>
    <numFmt numFmtId="168" formatCode="0\°"/>
    <numFmt numFmtId="169" formatCode="0;;&quot;&quot;"/>
    <numFmt numFmtId="170" formatCode="0.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theme="4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gray0625"/>
    </fill>
    <fill>
      <patternFill patternType="solid">
        <fgColor theme="0"/>
        <bgColor indexed="64"/>
      </patternFill>
    </fill>
    <fill>
      <patternFill patternType="mediumGray"/>
    </fill>
    <fill>
      <patternFill patternType="lightGray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/>
    <xf numFmtId="2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10" fillId="2" borderId="6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0" fillId="0" borderId="0" xfId="0" quotePrefix="1"/>
    <xf numFmtId="0" fontId="8" fillId="0" borderId="0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164" fontId="8" fillId="0" borderId="0" xfId="0" applyNumberFormat="1" applyFont="1" applyBorder="1" applyAlignment="1">
      <alignment horizontal="left" vertical="center"/>
    </xf>
    <xf numFmtId="164" fontId="8" fillId="0" borderId="0" xfId="0" applyNumberFormat="1" applyFont="1" applyBorder="1" applyAlignment="1">
      <alignment horizontal="left" vertical="center"/>
    </xf>
    <xf numFmtId="165" fontId="8" fillId="0" borderId="3" xfId="0" applyNumberFormat="1" applyFont="1" applyBorder="1" applyAlignment="1">
      <alignment horizontal="center" vertical="center"/>
    </xf>
    <xf numFmtId="166" fontId="11" fillId="0" borderId="0" xfId="0" applyNumberFormat="1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10" fillId="0" borderId="0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1" fontId="8" fillId="0" borderId="0" xfId="0" applyNumberFormat="1" applyFont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11" fillId="0" borderId="2" xfId="0" applyNumberFormat="1" applyFont="1" applyBorder="1" applyAlignment="1">
      <alignment horizontal="center" vertical="center"/>
    </xf>
    <xf numFmtId="2" fontId="8" fillId="0" borderId="13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2" fontId="8" fillId="5" borderId="0" xfId="0" applyNumberFormat="1" applyFont="1" applyFill="1" applyBorder="1" applyAlignment="1">
      <alignment horizontal="center" vertical="center"/>
    </xf>
    <xf numFmtId="2" fontId="8" fillId="5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10" fillId="2" borderId="4" xfId="0" applyNumberFormat="1" applyFont="1" applyFill="1" applyBorder="1" applyAlignment="1">
      <alignment horizontal="center" vertical="center"/>
    </xf>
    <xf numFmtId="168" fontId="10" fillId="2" borderId="4" xfId="0" applyNumberFormat="1" applyFont="1" applyFill="1" applyBorder="1" applyAlignment="1">
      <alignment horizontal="center" vertical="center"/>
    </xf>
    <xf numFmtId="2" fontId="8" fillId="0" borderId="20" xfId="0" applyNumberFormat="1" applyFont="1" applyBorder="1" applyAlignment="1">
      <alignment horizontal="center" vertical="center"/>
    </xf>
    <xf numFmtId="2" fontId="8" fillId="0" borderId="19" xfId="0" applyNumberFormat="1" applyFont="1" applyBorder="1" applyAlignment="1">
      <alignment horizontal="center" vertical="center"/>
    </xf>
    <xf numFmtId="1" fontId="8" fillId="0" borderId="22" xfId="0" applyNumberFormat="1" applyFont="1" applyBorder="1" applyAlignment="1">
      <alignment horizontal="center" vertical="center"/>
    </xf>
    <xf numFmtId="1" fontId="8" fillId="0" borderId="16" xfId="0" applyNumberFormat="1" applyFont="1" applyBorder="1" applyAlignment="1">
      <alignment horizontal="center" vertical="center"/>
    </xf>
    <xf numFmtId="1" fontId="8" fillId="0" borderId="23" xfId="0" applyNumberFormat="1" applyFont="1" applyBorder="1" applyAlignment="1">
      <alignment horizontal="center" vertical="center"/>
    </xf>
    <xf numFmtId="1" fontId="8" fillId="0" borderId="13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1" fontId="10" fillId="2" borderId="15" xfId="0" applyNumberFormat="1" applyFont="1" applyFill="1" applyBorder="1" applyAlignment="1">
      <alignment horizontal="center" vertical="center"/>
    </xf>
    <xf numFmtId="1" fontId="10" fillId="2" borderId="14" xfId="0" applyNumberFormat="1" applyFont="1" applyFill="1" applyBorder="1" applyAlignment="1">
      <alignment horizontal="center" vertical="center"/>
    </xf>
    <xf numFmtId="168" fontId="10" fillId="2" borderId="15" xfId="0" applyNumberFormat="1" applyFont="1" applyFill="1" applyBorder="1" applyAlignment="1">
      <alignment horizontal="center" vertical="center"/>
    </xf>
    <xf numFmtId="168" fontId="10" fillId="2" borderId="14" xfId="0" applyNumberFormat="1" applyFont="1" applyFill="1" applyBorder="1" applyAlignment="1">
      <alignment horizontal="center" vertical="center"/>
    </xf>
    <xf numFmtId="0" fontId="8" fillId="1" borderId="22" xfId="0" applyNumberFormat="1" applyFont="1" applyFill="1" applyBorder="1" applyAlignment="1">
      <alignment horizontal="center" vertical="center"/>
    </xf>
    <xf numFmtId="0" fontId="8" fillId="1" borderId="23" xfId="0" applyNumberFormat="1" applyFont="1" applyFill="1" applyBorder="1" applyAlignment="1">
      <alignment horizontal="center" vertical="center"/>
    </xf>
    <xf numFmtId="0" fontId="8" fillId="1" borderId="13" xfId="0" applyNumberFormat="1" applyFont="1" applyFill="1" applyBorder="1" applyAlignment="1">
      <alignment horizontal="center" vertical="center"/>
    </xf>
    <xf numFmtId="0" fontId="8" fillId="1" borderId="12" xfId="0" applyNumberFormat="1" applyFont="1" applyFill="1" applyBorder="1" applyAlignment="1">
      <alignment horizontal="center" vertical="center"/>
    </xf>
    <xf numFmtId="2" fontId="8" fillId="4" borderId="0" xfId="0" applyNumberFormat="1" applyFont="1" applyFill="1" applyBorder="1" applyAlignment="1">
      <alignment horizontal="center" vertical="center"/>
    </xf>
    <xf numFmtId="2" fontId="8" fillId="4" borderId="23" xfId="0" applyNumberFormat="1" applyFont="1" applyFill="1" applyBorder="1" applyAlignment="1">
      <alignment horizontal="center" vertical="center"/>
    </xf>
    <xf numFmtId="2" fontId="8" fillId="4" borderId="12" xfId="0" applyNumberFormat="1" applyFont="1" applyFill="1" applyBorder="1" applyAlignment="1">
      <alignment horizontal="center" vertical="center"/>
    </xf>
    <xf numFmtId="2" fontId="11" fillId="4" borderId="0" xfId="0" applyNumberFormat="1" applyFont="1" applyFill="1" applyBorder="1" applyAlignment="1">
      <alignment horizontal="center" vertical="center"/>
    </xf>
    <xf numFmtId="0" fontId="8" fillId="5" borderId="22" xfId="0" applyNumberFormat="1" applyFont="1" applyFill="1" applyBorder="1" applyAlignment="1">
      <alignment horizontal="center" vertical="center"/>
    </xf>
    <xf numFmtId="0" fontId="8" fillId="5" borderId="23" xfId="0" applyNumberFormat="1" applyFont="1" applyFill="1" applyBorder="1" applyAlignment="1">
      <alignment horizontal="center" vertical="center"/>
    </xf>
    <xf numFmtId="0" fontId="8" fillId="5" borderId="13" xfId="0" applyNumberFormat="1" applyFont="1" applyFill="1" applyBorder="1" applyAlignment="1">
      <alignment horizontal="center" vertical="center"/>
    </xf>
    <xf numFmtId="0" fontId="8" fillId="5" borderId="12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/>
    <xf numFmtId="164" fontId="0" fillId="0" borderId="0" xfId="0" applyNumberFormat="1" applyFill="1" applyBorder="1"/>
    <xf numFmtId="0" fontId="10" fillId="2" borderId="8" xfId="0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0" fontId="0" fillId="1" borderId="18" xfId="0" applyFill="1" applyBorder="1" applyAlignment="1">
      <alignment horizontal="center"/>
    </xf>
    <xf numFmtId="0" fontId="1" fillId="0" borderId="24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1" fillId="0" borderId="17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left" vertical="center"/>
    </xf>
    <xf numFmtId="0" fontId="5" fillId="0" borderId="25" xfId="0" applyFont="1" applyFill="1" applyBorder="1" applyAlignment="1">
      <alignment horizontal="left" vertical="center"/>
    </xf>
    <xf numFmtId="165" fontId="0" fillId="0" borderId="2" xfId="0" applyNumberFormat="1" applyFill="1" applyBorder="1" applyAlignment="1">
      <alignment horizontal="center"/>
    </xf>
    <xf numFmtId="165" fontId="0" fillId="0" borderId="12" xfId="0" applyNumberForma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7" fontId="0" fillId="0" borderId="26" xfId="0" applyNumberFormat="1" applyFill="1" applyBorder="1" applyAlignment="1">
      <alignment horizontal="center"/>
    </xf>
    <xf numFmtId="1" fontId="0" fillId="1" borderId="19" xfId="0" applyNumberFormat="1" applyFill="1" applyBorder="1" applyAlignment="1">
      <alignment horizontal="center"/>
    </xf>
    <xf numFmtId="0" fontId="1" fillId="7" borderId="0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6" borderId="0" xfId="0" quotePrefix="1" applyFill="1" applyBorder="1" applyAlignment="1">
      <alignment horizontal="center"/>
    </xf>
    <xf numFmtId="166" fontId="8" fillId="0" borderId="0" xfId="0" applyNumberFormat="1" applyFont="1" applyBorder="1" applyAlignment="1">
      <alignment horizontal="left" vertical="center"/>
    </xf>
    <xf numFmtId="0" fontId="0" fillId="0" borderId="12" xfId="0" applyFill="1" applyBorder="1" applyAlignment="1">
      <alignment horizontal="left"/>
    </xf>
    <xf numFmtId="0" fontId="0" fillId="4" borderId="13" xfId="0" applyNumberFormat="1" applyFill="1" applyBorder="1" applyAlignment="1">
      <alignment horizontal="center"/>
    </xf>
    <xf numFmtId="166" fontId="8" fillId="0" borderId="0" xfId="0" applyNumberFormat="1" applyFont="1" applyBorder="1" applyAlignment="1">
      <alignment horizontal="left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2" fontId="10" fillId="3" borderId="13" xfId="0" applyNumberFormat="1" applyFont="1" applyFill="1" applyBorder="1" applyAlignment="1">
      <alignment horizontal="center" vertical="center"/>
    </xf>
    <xf numFmtId="2" fontId="10" fillId="2" borderId="0" xfId="0" applyNumberFormat="1" applyFont="1" applyFill="1" applyBorder="1" applyAlignment="1">
      <alignment horizontal="center" vertical="center"/>
    </xf>
    <xf numFmtId="2" fontId="10" fillId="2" borderId="12" xfId="0" applyNumberFormat="1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 wrapText="1"/>
    </xf>
    <xf numFmtId="169" fontId="8" fillId="0" borderId="1" xfId="0" applyNumberFormat="1" applyFont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169" fontId="8" fillId="0" borderId="21" xfId="0" applyNumberFormat="1" applyFont="1" applyBorder="1" applyAlignment="1">
      <alignment horizontal="center" vertical="center"/>
    </xf>
    <xf numFmtId="169" fontId="8" fillId="0" borderId="19" xfId="0" applyNumberFormat="1" applyFont="1" applyBorder="1" applyAlignment="1">
      <alignment horizontal="center" vertical="center"/>
    </xf>
    <xf numFmtId="169" fontId="8" fillId="0" borderId="18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69" fontId="8" fillId="0" borderId="17" xfId="0" applyNumberFormat="1" applyFont="1" applyBorder="1" applyAlignment="1">
      <alignment horizontal="center" vertical="center"/>
    </xf>
    <xf numFmtId="169" fontId="8" fillId="0" borderId="22" xfId="0" applyNumberFormat="1" applyFont="1" applyBorder="1" applyAlignment="1">
      <alignment horizontal="center" vertical="center"/>
    </xf>
    <xf numFmtId="169" fontId="8" fillId="0" borderId="16" xfId="0" applyNumberFormat="1" applyFont="1" applyBorder="1" applyAlignment="1">
      <alignment horizontal="center" vertical="center"/>
    </xf>
    <xf numFmtId="169" fontId="8" fillId="0" borderId="23" xfId="0" applyNumberFormat="1" applyFont="1" applyBorder="1" applyAlignment="1">
      <alignment horizontal="center" vertical="center"/>
    </xf>
    <xf numFmtId="169" fontId="8" fillId="0" borderId="13" xfId="0" applyNumberFormat="1" applyFont="1" applyBorder="1" applyAlignment="1">
      <alignment horizontal="center" vertical="center"/>
    </xf>
    <xf numFmtId="169" fontId="8" fillId="0" borderId="0" xfId="0" applyNumberFormat="1" applyFont="1" applyBorder="1" applyAlignment="1">
      <alignment horizontal="center" vertical="center"/>
    </xf>
    <xf numFmtId="169" fontId="8" fillId="0" borderId="12" xfId="0" applyNumberFormat="1" applyFont="1" applyBorder="1" applyAlignment="1">
      <alignment horizontal="center" vertical="center"/>
    </xf>
    <xf numFmtId="169" fontId="8" fillId="0" borderId="9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0" xfId="0" applyNumberFormat="1" applyFont="1" applyBorder="1" applyAlignment="1">
      <alignment horizontal="left" vertical="center"/>
    </xf>
    <xf numFmtId="0" fontId="0" fillId="0" borderId="19" xfId="0" applyFill="1" applyBorder="1" applyAlignment="1">
      <alignment horizontal="center"/>
    </xf>
    <xf numFmtId="166" fontId="15" fillId="0" borderId="0" xfId="0" applyNumberFormat="1" applyFont="1" applyBorder="1" applyAlignment="1">
      <alignment horizontal="left" vertical="center"/>
    </xf>
    <xf numFmtId="165" fontId="15" fillId="0" borderId="3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center" vertical="center"/>
    </xf>
    <xf numFmtId="167" fontId="15" fillId="0" borderId="1" xfId="0" applyNumberFormat="1" applyFont="1" applyBorder="1" applyAlignment="1">
      <alignment horizontal="center" vertical="center"/>
    </xf>
    <xf numFmtId="2" fontId="15" fillId="0" borderId="13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2" fontId="15" fillId="5" borderId="0" xfId="0" applyNumberFormat="1" applyFont="1" applyFill="1" applyBorder="1" applyAlignment="1">
      <alignment horizontal="center" vertical="center"/>
    </xf>
    <xf numFmtId="2" fontId="15" fillId="5" borderId="12" xfId="0" applyNumberFormat="1" applyFont="1" applyFill="1" applyBorder="1" applyAlignment="1">
      <alignment horizontal="center" vertical="center"/>
    </xf>
    <xf numFmtId="166" fontId="8" fillId="0" borderId="0" xfId="0" applyNumberFormat="1" applyFont="1" applyBorder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8" fillId="0" borderId="26" xfId="0" applyNumberFormat="1" applyFont="1" applyBorder="1" applyAlignment="1">
      <alignment horizontal="center" vertical="center"/>
    </xf>
    <xf numFmtId="166" fontId="10" fillId="0" borderId="0" xfId="0" applyNumberFormat="1" applyFont="1" applyBorder="1" applyAlignment="1">
      <alignment horizontal="left" vertical="center"/>
    </xf>
    <xf numFmtId="166" fontId="16" fillId="0" borderId="0" xfId="0" applyNumberFormat="1" applyFont="1" applyBorder="1" applyAlignment="1">
      <alignment horizontal="left" vertical="center"/>
    </xf>
    <xf numFmtId="165" fontId="16" fillId="0" borderId="3" xfId="0" applyNumberFormat="1" applyFont="1" applyBorder="1" applyAlignment="1">
      <alignment horizontal="center" vertical="center"/>
    </xf>
    <xf numFmtId="169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13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6" xfId="0" applyNumberFormat="1" applyFont="1" applyBorder="1" applyAlignment="1">
      <alignment horizontal="center" vertical="center"/>
    </xf>
    <xf numFmtId="2" fontId="16" fillId="5" borderId="0" xfId="0" applyNumberFormat="1" applyFont="1" applyFill="1" applyBorder="1" applyAlignment="1">
      <alignment horizontal="center" vertical="center"/>
    </xf>
    <xf numFmtId="2" fontId="16" fillId="5" borderId="12" xfId="0" applyNumberFormat="1" applyFont="1" applyFill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169" fontId="16" fillId="0" borderId="18" xfId="0" applyNumberFormat="1" applyFont="1" applyBorder="1" applyAlignment="1">
      <alignment horizontal="center" vertical="center"/>
    </xf>
    <xf numFmtId="169" fontId="16" fillId="0" borderId="13" xfId="0" applyNumberFormat="1" applyFont="1" applyBorder="1" applyAlignment="1">
      <alignment horizontal="center" vertical="center"/>
    </xf>
    <xf numFmtId="169" fontId="16" fillId="0" borderId="0" xfId="0" applyNumberFormat="1" applyFont="1" applyBorder="1" applyAlignment="1">
      <alignment horizontal="center" vertical="center"/>
    </xf>
    <xf numFmtId="169" fontId="16" fillId="0" borderId="12" xfId="0" applyNumberFormat="1" applyFont="1" applyBorder="1" applyAlignment="1">
      <alignment horizontal="center" vertical="center"/>
    </xf>
    <xf numFmtId="1" fontId="16" fillId="0" borderId="13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69" fontId="16" fillId="0" borderId="19" xfId="0" applyNumberFormat="1" applyFont="1" applyBorder="1" applyAlignment="1">
      <alignment horizontal="center" vertical="center"/>
    </xf>
    <xf numFmtId="0" fontId="16" fillId="1" borderId="13" xfId="0" applyNumberFormat="1" applyFont="1" applyFill="1" applyBorder="1" applyAlignment="1">
      <alignment horizontal="center" vertical="center"/>
    </xf>
    <xf numFmtId="0" fontId="16" fillId="1" borderId="12" xfId="0" applyNumberFormat="1" applyFont="1" applyFill="1" applyBorder="1" applyAlignment="1">
      <alignment horizontal="center" vertical="center"/>
    </xf>
    <xf numFmtId="0" fontId="16" fillId="5" borderId="13" xfId="0" applyNumberFormat="1" applyFont="1" applyFill="1" applyBorder="1" applyAlignment="1">
      <alignment horizontal="center" vertical="center"/>
    </xf>
    <xf numFmtId="0" fontId="16" fillId="5" borderId="12" xfId="0" applyNumberFormat="1" applyFont="1" applyFill="1" applyBorder="1" applyAlignment="1">
      <alignment horizontal="center" vertical="center"/>
    </xf>
    <xf numFmtId="2" fontId="16" fillId="4" borderId="0" xfId="0" applyNumberFormat="1" applyFont="1" applyFill="1" applyBorder="1" applyAlignment="1">
      <alignment horizontal="center" vertical="center"/>
    </xf>
    <xf numFmtId="2" fontId="16" fillId="4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0" xfId="0" applyNumberFormat="1" applyAlignment="1">
      <alignment horizontal="center"/>
    </xf>
    <xf numFmtId="0" fontId="11" fillId="5" borderId="13" xfId="0" applyNumberFormat="1" applyFont="1" applyFill="1" applyBorder="1" applyAlignment="1">
      <alignment horizontal="center" vertical="center"/>
    </xf>
    <xf numFmtId="0" fontId="11" fillId="5" borderId="12" xfId="0" applyNumberFormat="1" applyFont="1" applyFill="1" applyBorder="1" applyAlignment="1">
      <alignment horizontal="center" vertical="center"/>
    </xf>
    <xf numFmtId="16" fontId="0" fillId="0" borderId="0" xfId="0" applyNumberFormat="1"/>
    <xf numFmtId="1" fontId="8" fillId="1" borderId="26" xfId="0" applyNumberFormat="1" applyFont="1" applyFill="1" applyBorder="1" applyAlignment="1">
      <alignment horizontal="center" vertical="center"/>
    </xf>
    <xf numFmtId="1" fontId="15" fillId="1" borderId="26" xfId="0" applyNumberFormat="1" applyFont="1" applyFill="1" applyBorder="1" applyAlignment="1">
      <alignment horizontal="center" vertical="center"/>
    </xf>
    <xf numFmtId="1" fontId="16" fillId="1" borderId="26" xfId="0" applyNumberFormat="1" applyFont="1" applyFill="1" applyBorder="1" applyAlignment="1">
      <alignment horizontal="center" vertical="center"/>
    </xf>
    <xf numFmtId="0" fontId="8" fillId="0" borderId="0" xfId="0" applyNumberFormat="1" applyFont="1" applyBorder="1"/>
    <xf numFmtId="0" fontId="1" fillId="0" borderId="0" xfId="0" applyFont="1"/>
    <xf numFmtId="0" fontId="0" fillId="6" borderId="0" xfId="0" applyFill="1" applyBorder="1"/>
    <xf numFmtId="0" fontId="1" fillId="0" borderId="22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left"/>
    </xf>
    <xf numFmtId="164" fontId="0" fillId="6" borderId="0" xfId="0" applyNumberFormat="1" applyFill="1" applyBorder="1" applyAlignment="1">
      <alignment horizontal="left"/>
    </xf>
    <xf numFmtId="0" fontId="10" fillId="2" borderId="22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7" fillId="2" borderId="11" xfId="0" applyFont="1" applyFill="1" applyBorder="1" applyAlignment="1" applyProtection="1">
      <alignment horizontal="center" vertical="center" wrapText="1"/>
      <protection locked="0"/>
    </xf>
    <xf numFmtId="0" fontId="7" fillId="2" borderId="5" xfId="0" applyFont="1" applyFill="1" applyBorder="1" applyAlignment="1" applyProtection="1">
      <alignment horizontal="center" vertical="center" wrapText="1"/>
      <protection locked="0"/>
    </xf>
    <xf numFmtId="0" fontId="10" fillId="2" borderId="9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2" fontId="10" fillId="2" borderId="10" xfId="0" applyNumberFormat="1" applyFont="1" applyFill="1" applyBorder="1" applyAlignment="1">
      <alignment horizontal="center" wrapText="1"/>
    </xf>
    <xf numFmtId="2" fontId="10" fillId="2" borderId="2" xfId="0" applyNumberFormat="1" applyFont="1" applyFill="1" applyBorder="1" applyAlignment="1">
      <alignment horizontal="center"/>
    </xf>
    <xf numFmtId="2" fontId="10" fillId="2" borderId="22" xfId="0" applyNumberFormat="1" applyFont="1" applyFill="1" applyBorder="1" applyAlignment="1">
      <alignment horizontal="center" vertical="center"/>
    </xf>
    <xf numFmtId="2" fontId="10" fillId="2" borderId="16" xfId="0" applyNumberFormat="1" applyFont="1" applyFill="1" applyBorder="1" applyAlignment="1">
      <alignment horizontal="center" vertical="center"/>
    </xf>
    <xf numFmtId="2" fontId="10" fillId="2" borderId="23" xfId="0" applyNumberFormat="1" applyFont="1" applyFill="1" applyBorder="1" applyAlignment="1">
      <alignment horizontal="center" vertical="center"/>
    </xf>
    <xf numFmtId="164" fontId="10" fillId="0" borderId="0" xfId="0" applyNumberFormat="1" applyFont="1" applyBorder="1" applyAlignment="1">
      <alignment horizontal="right" vertical="center"/>
    </xf>
    <xf numFmtId="164" fontId="8" fillId="0" borderId="0" xfId="0" applyNumberFormat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10" fillId="0" borderId="0" xfId="0" applyNumberFormat="1" applyFont="1" applyBorder="1" applyAlignment="1">
      <alignment horizontal="right" vertical="center"/>
    </xf>
    <xf numFmtId="1" fontId="8" fillId="0" borderId="0" xfId="0" applyNumberFormat="1" applyFont="1" applyBorder="1" applyAlignment="1">
      <alignment horizontal="left" vertical="center"/>
    </xf>
    <xf numFmtId="166" fontId="8" fillId="0" borderId="0" xfId="0" applyNumberFormat="1" applyFont="1" applyBorder="1" applyAlignment="1">
      <alignment horizontal="left" vertical="center"/>
    </xf>
    <xf numFmtId="2" fontId="10" fillId="2" borderId="17" xfId="0" applyNumberFormat="1" applyFont="1" applyFill="1" applyBorder="1" applyAlignment="1">
      <alignment horizontal="center" vertical="center" wrapText="1"/>
    </xf>
    <xf numFmtId="2" fontId="10" fillId="2" borderId="28" xfId="0" applyNumberFormat="1" applyFont="1" applyFill="1" applyBorder="1" applyAlignment="1">
      <alignment horizontal="center" vertical="center" wrapText="1"/>
    </xf>
    <xf numFmtId="2" fontId="10" fillId="2" borderId="21" xfId="0" applyNumberFormat="1" applyFont="1" applyFill="1" applyBorder="1" applyAlignment="1">
      <alignment horizontal="center" vertical="center" wrapText="1"/>
    </xf>
    <xf numFmtId="2" fontId="10" fillId="2" borderId="29" xfId="0" applyNumberFormat="1" applyFont="1" applyFill="1" applyBorder="1" applyAlignment="1">
      <alignment horizontal="center" vertical="center" wrapText="1"/>
    </xf>
    <xf numFmtId="2" fontId="10" fillId="2" borderId="17" xfId="0" applyNumberFormat="1" applyFont="1" applyFill="1" applyBorder="1" applyAlignment="1">
      <alignment horizontal="center" vertical="center"/>
    </xf>
    <xf numFmtId="2" fontId="10" fillId="2" borderId="28" xfId="0" applyNumberFormat="1" applyFont="1" applyFill="1" applyBorder="1" applyAlignment="1">
      <alignment horizontal="center" vertical="center"/>
    </xf>
    <xf numFmtId="166" fontId="8" fillId="0" borderId="4" xfId="0" applyNumberFormat="1" applyFont="1" applyBorder="1" applyAlignment="1">
      <alignment horizontal="left" vertical="center"/>
    </xf>
    <xf numFmtId="0" fontId="10" fillId="2" borderId="7" xfId="0" applyFont="1" applyFill="1" applyBorder="1" applyAlignment="1">
      <alignment horizontal="center"/>
    </xf>
    <xf numFmtId="2" fontId="10" fillId="2" borderId="10" xfId="0" applyNumberFormat="1" applyFont="1" applyFill="1" applyBorder="1" applyAlignment="1">
      <alignment horizontal="center"/>
    </xf>
    <xf numFmtId="2" fontId="10" fillId="2" borderId="8" xfId="0" applyNumberFormat="1" applyFont="1" applyFill="1" applyBorder="1" applyAlignment="1">
      <alignment horizontal="center"/>
    </xf>
    <xf numFmtId="2" fontId="10" fillId="2" borderId="20" xfId="0" applyNumberFormat="1" applyFont="1" applyFill="1" applyBorder="1" applyAlignment="1">
      <alignment horizontal="center" vertical="center" wrapText="1"/>
    </xf>
    <xf numFmtId="2" fontId="10" fillId="2" borderId="27" xfId="0" applyNumberFormat="1" applyFont="1" applyFill="1" applyBorder="1" applyAlignment="1">
      <alignment horizontal="center" vertical="center" wrapText="1"/>
    </xf>
    <xf numFmtId="0" fontId="13" fillId="0" borderId="0" xfId="0" applyFont="1"/>
  </cellXfs>
  <cellStyles count="1">
    <cellStyle name="Normal" xfId="0" builtinId="0"/>
  </cellStyles>
  <dxfs count="2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medium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medium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medium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gray125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gray125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7" formatCode="0.00;;&quot;&quot;"/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relative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relativeIndent="0" justifyLastLine="0" shrinkToFit="0" readingOrder="0"/>
    </dxf>
    <dxf>
      <font>
        <b/>
        <i val="0"/>
        <strike val="0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lightGray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gray125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>
        <left style="medium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7" formatCode="0.0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0;;&quot;&quot;"/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0.000;[Red]\-0.000;&quot;&quot;"/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0.000;[Red]\-0.000;&quot;&quot;"/>
      <alignment horizontal="center" vertical="center" textRotation="0" wrapText="0" relativeIndent="0" justifyLastLine="0" shrinkToFit="0" readingOrder="0"/>
      <border diagonalUp="0" diagonalDown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General;;&quot;&quot;"/>
      <alignment horizontal="lef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relative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/>
        <i val="0"/>
        <strike val="0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0.000"/>
      <alignment horizontal="center" vertical="bottom" textRotation="0" wrapText="0" indent="0" justifyLastLine="0" shrinkToFit="0" readingOrder="0"/>
    </dxf>
    <dxf>
      <numFmt numFmtId="170" formatCode="0.000"/>
      <alignment horizontal="center" vertical="bottom" textRotation="0" wrapText="0" indent="0" justifyLastLine="0" shrinkToFit="0" readingOrder="0"/>
    </dxf>
    <dxf>
      <numFmt numFmtId="170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mediumGray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ill>
        <patternFill patternType="gray125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" formatCode="0"/>
      <fill>
        <patternFill patternType="gray125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67" formatCode="0.00;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gray0625">
          <fgColor indexed="64"/>
          <bgColor indexed="65"/>
        </patternFill>
      </fill>
      <alignment horizontal="left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/>
        <bottom/>
        <vertical/>
        <horizontal/>
      </border>
    </dxf>
    <dxf>
      <alignment horizontal="left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numFmt numFmtId="164" formatCode="[$-F800]dddd\,\ mmmm\ dd\,\ yyyy"/>
      <fill>
        <patternFill patternType="gray125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0.000;[Red]\-0.000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 patternType="gray0625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alignment horizontal="left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ill>
        <patternFill patternType="solid">
          <fgColor theme="0" tint="-0.14996795556505021"/>
          <bgColor theme="0" tint="-4.9989318521683403E-2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i val="0"/>
        <strike val="0"/>
        <color theme="1"/>
      </font>
      <fill>
        <patternFill>
          <bgColor theme="0" tint="-0.24994659260841701"/>
        </patternFill>
      </fill>
      <border>
        <top style="thin">
          <color theme="1"/>
        </top>
      </border>
    </dxf>
    <dxf>
      <font>
        <b/>
        <i val="0"/>
        <strike val="0"/>
        <color theme="1"/>
      </font>
      <fill>
        <patternFill patternType="gray125"/>
      </fill>
      <border>
        <bottom style="thin">
          <color theme="1"/>
        </bottom>
      </border>
    </dxf>
    <dxf>
      <font>
        <b val="0"/>
        <i val="0"/>
        <strike val="0"/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ill>
        <patternFill patternType="solid">
          <fgColor theme="0" tint="-0.34998626667073579"/>
          <bgColor theme="0" tint="-0.34998626667073579"/>
        </patternFill>
      </fill>
    </dxf>
    <dxf>
      <fill>
        <patternFill patternType="solid">
          <fgColor theme="0" tint="-0.34998626667073579"/>
          <bgColor theme="0" tint="-0.34998626667073579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b/>
        <color theme="0"/>
      </font>
      <fill>
        <patternFill patternType="solid">
          <fgColor theme="1"/>
          <bgColor theme="1"/>
        </patternFill>
      </fill>
      <border>
        <top style="medium">
          <color theme="1"/>
        </top>
        <bottom style="medium">
          <color theme="1"/>
        </bottom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0" tint="-0.14999847407452621"/>
          <bgColor theme="0" tint="-0.1499984740745262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/>
        </vertical>
        <horizontal style="thin">
          <color theme="0"/>
        </horizontal>
      </border>
    </dxf>
  </dxfs>
  <tableStyles count="2" defaultTableStyle="TableStyleMedium9" defaultPivotStyle="PivotStyleLight16">
    <tableStyle name="DATA" pivot="0" count="7" xr9:uid="{00000000-0011-0000-FFFF-FFFF00000000}">
      <tableStyleElement type="wholeTable" dxfId="227"/>
      <tableStyleElement type="headerRow" dxfId="226"/>
      <tableStyleElement type="totalRow" dxfId="225"/>
      <tableStyleElement type="firstColumn" dxfId="224"/>
      <tableStyleElement type="lastColumn" dxfId="223"/>
      <tableStyleElement type="firstRowStripe" dxfId="222"/>
      <tableStyleElement type="firstColumnStripe" dxfId="221"/>
    </tableStyle>
    <tableStyle name="Depths" pivot="0" count="5" xr9:uid="{00000000-0011-0000-FFFF-FFFF01000000}">
      <tableStyleElement type="wholeTable" dxfId="220"/>
      <tableStyleElement type="headerRow" dxfId="219"/>
      <tableStyleElement type="totalRow" dxfId="218"/>
      <tableStyleElement type="firstRowStripe" dxfId="217"/>
      <tableStyleElement type="firstColumnStripe" dxfId="2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19707</xdr:colOff>
      <xdr:row>0</xdr:row>
      <xdr:rowOff>3144</xdr:rowOff>
    </xdr:from>
    <xdr:to>
      <xdr:col>0</xdr:col>
      <xdr:colOff>1128507</xdr:colOff>
      <xdr:row>2</xdr:row>
      <xdr:rowOff>5006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707" y="3144"/>
          <a:ext cx="11088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9293</xdr:colOff>
      <xdr:row>0</xdr:row>
      <xdr:rowOff>3145</xdr:rowOff>
    </xdr:from>
    <xdr:to>
      <xdr:col>0</xdr:col>
      <xdr:colOff>1113476</xdr:colOff>
      <xdr:row>1</xdr:row>
      <xdr:rowOff>199103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293" y="3145"/>
          <a:ext cx="1104183" cy="39598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5:Q72" headerRowCount="0" totalsRowShown="0" headerRowDxfId="215" tableBorderDxfId="214">
  <tableColumns count="17">
    <tableColumn id="1" xr3:uid="{00000000-0010-0000-0000-000001000000}" name="Product" headerRowDxfId="213" dataDxfId="212"/>
    <tableColumn id="2" xr3:uid="{00000000-0010-0000-0000-000002000000}" name="From_ID" headerRowDxfId="211" dataDxfId="210"/>
    <tableColumn id="3" xr3:uid="{00000000-0010-0000-0000-000003000000}" name="From_ID2" headerRowDxfId="209" dataDxfId="208"/>
    <tableColumn id="4" xr3:uid="{00000000-0010-0000-0000-000004000000}" name="From_Type" headerRowDxfId="207" dataDxfId="206"/>
    <tableColumn id="5" xr3:uid="{00000000-0010-0000-0000-000005000000}" name="From_Depth" headerRowDxfId="205" dataDxfId="204"/>
    <tableColumn id="6" xr3:uid="{00000000-0010-0000-0000-000006000000}" name="From_CL" headerRowDxfId="203" dataDxfId="202"/>
    <tableColumn id="7" xr3:uid="{00000000-0010-0000-0000-000007000000}" name="From_IL" headerRowDxfId="201" dataDxfId="200"/>
    <tableColumn id="8" xr3:uid="{00000000-0010-0000-0000-000008000000}" name="To_ID" headerRowDxfId="199" dataDxfId="198"/>
    <tableColumn id="9" xr3:uid="{00000000-0010-0000-0000-000009000000}" name="To_Type" headerRowDxfId="197" dataDxfId="196"/>
    <tableColumn id="10" xr3:uid="{00000000-0010-0000-0000-00000A000000}" name="To_Depth" headerRowDxfId="195" dataDxfId="194"/>
    <tableColumn id="11" xr3:uid="{00000000-0010-0000-0000-00000B000000}" name="To_CL" headerRowDxfId="193" dataDxfId="192"/>
    <tableColumn id="12" xr3:uid="{00000000-0010-0000-0000-00000C000000}" name="To_IL" headerRowDxfId="191" dataDxfId="190"/>
    <tableColumn id="13" xr3:uid="{00000000-0010-0000-0000-00000D000000}" name="Dia" headerRowDxfId="189" dataDxfId="188"/>
    <tableColumn id="14" xr3:uid="{00000000-0010-0000-0000-00000E000000}" name="Length" headerRowDxfId="187" dataDxfId="186"/>
    <tableColumn id="15" xr3:uid="{00000000-0010-0000-0000-00000F000000}" name="Fnd_Xd" headerRowDxfId="185" dataDxfId="184"/>
    <tableColumn id="16" xr3:uid="{00000000-0010-0000-0000-000010000000}" name="Bedding" headerRowDxfId="183" dataDxfId="182"/>
    <tableColumn id="17" xr3:uid="{00000000-0010-0000-0000-000011000000}" name="TOTAL" headerRowDxfId="181" dataDxfId="180">
      <calculatedColumnFormula>IF(COUNTIF(DATA[[#This Row],[From_ID]:[Dia]],"*total*")&gt;0,TRUE,FALSE)</calculatedColumnFormula>
    </tableColumn>
  </tableColumns>
  <tableStyleInfo name="DATA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BD89C6-57AD-41C1-A9D0-EB920781824E}" name="MH_SCHED" displayName="MH_SCHED" ref="A2:H21" headerRowCount="0" totalsRowShown="0">
  <tableColumns count="8">
    <tableColumn id="1" xr3:uid="{0A20C62D-264B-4A97-88D1-35F9AC0EEAF3}" name="MH_Ref"/>
    <tableColumn id="2" xr3:uid="{0118901B-53AE-4589-A36D-64F6F4C9182A}" name="MH_Size" dataDxfId="179"/>
    <tableColumn id="3" xr3:uid="{C24A7776-BD1E-4814-B42D-902C03A140D6}" name="MH_CL" dataDxfId="178"/>
    <tableColumn id="4" xr3:uid="{04AAB7A5-550C-48EC-B7F0-AA28CA0D6037}" name="MH_IL" dataDxfId="177"/>
    <tableColumn id="5" xr3:uid="{70764F18-F8A3-48E5-BC6A-C09DD6BE87F8}" name="MH_Depth" dataDxfId="176">
      <calculatedColumnFormula>MH_SCHED[[#This Row],[MH_CL]]-MH_SCHED[[#This Row],[MH_IL]]</calculatedColumnFormula>
    </tableColumn>
    <tableColumn id="6" xr3:uid="{F9EC4608-5771-428E-885F-2F6F51FD915E}" name="MH_Type" dataDxfId="175"/>
    <tableColumn id="7" xr3:uid="{8A44E7F5-89EC-408E-9D00-A521BA5284EC}" name="MH_Cover" dataDxfId="174"/>
    <tableColumn id="8" xr3:uid="{9853B952-0745-459F-B473-68B6B5C2F44F}" name="MH_Load" dataDxfId="17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epths" displayName="Depths" ref="A5:AK72" headerRowCount="0" totalsRowShown="0" headerRowDxfId="170" dataDxfId="169" tableBorderDxfId="168">
  <tableColumns count="37">
    <tableColumn id="1" xr3:uid="{00000000-0010-0000-0100-000001000000}" name="From" headerRowDxfId="167" dataDxfId="166">
      <calculatedColumnFormula>DATA[[#This Row],[From_ID]]&amp;IF(COUNTA(DATA[[#This Row],[From_ID2]]),"/"&amp;DATA[[#This Row],[From_ID2]],)</calculatedColumnFormula>
    </tableColumn>
    <tableColumn id="2" xr3:uid="{00000000-0010-0000-0100-000002000000}" name="From_Dp" headerRowDxfId="165" dataDxfId="164">
      <calculatedColumnFormula>DATA[[#This Row],[From_Depth]]</calculatedColumnFormula>
    </tableColumn>
    <tableColumn id="3" xr3:uid="{00000000-0010-0000-0100-000003000000}" name="To" headerRowDxfId="163" dataDxfId="162">
      <calculatedColumnFormula>DATA[[#This Row],[To_ID]]</calculatedColumnFormula>
    </tableColumn>
    <tableColumn id="4" xr3:uid="{00000000-0010-0000-0100-000004000000}" name="To_Dp" headerRowDxfId="161" dataDxfId="160">
      <calculatedColumnFormula>DATA[[#This Row],[To_Depth]]</calculatedColumnFormula>
    </tableColumn>
    <tableColumn id="5" xr3:uid="{00000000-0010-0000-0100-000005000000}" name="Dia" headerRowDxfId="159" dataDxfId="158">
      <calculatedColumnFormula>DATA[[#This Row],[Dia]]</calculatedColumnFormula>
    </tableColumn>
    <tableColumn id="6" xr3:uid="{00000000-0010-0000-0100-000006000000}" name="Length" headerRowDxfId="157" dataDxfId="156">
      <calculatedColumnFormula>IF(Depths[[#This Row],[TOTAL]],SUMIF(Depths[FLAG],(Depths[[#This Row],[COUNT]]-1),Depths[Length]),SUM(Depths[[#This Row],[Depth1]:[Depth23]]))</calculatedColumnFormula>
    </tableColumn>
    <tableColumn id="7" xr3:uid="{00000000-0010-0000-0100-000007000000}" name="Depth1" headerRowDxfId="155" dataDxfId="154">
      <calculatedColumnFormula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calculatedColumnFormula>
    </tableColumn>
    <tableColumn id="8" xr3:uid="{00000000-0010-0000-0100-000008000000}" name="Depth2" headerRowDxfId="153" dataDxfId="152">
      <calculatedColumnFormula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calculatedColumnFormula>
    </tableColumn>
    <tableColumn id="9" xr3:uid="{00000000-0010-0000-0100-000009000000}" name="Depth3" headerRowDxfId="151" dataDxfId="150">
      <calculatedColumnFormula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calculatedColumnFormula>
    </tableColumn>
    <tableColumn id="10" xr3:uid="{00000000-0010-0000-0100-00000A000000}" name="Depth4" headerRowDxfId="149" dataDxfId="148">
      <calculatedColumnFormula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calculatedColumnFormula>
    </tableColumn>
    <tableColumn id="11" xr3:uid="{00000000-0010-0000-0100-00000B000000}" name="Depth5" headerRowDxfId="147" dataDxfId="146">
      <calculatedColumnFormula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calculatedColumnFormula>
    </tableColumn>
    <tableColumn id="12" xr3:uid="{00000000-0010-0000-0100-00000C000000}" name="Depth6" headerRowDxfId="145" dataDxfId="144">
      <calculatedColumnFormula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calculatedColumnFormula>
    </tableColumn>
    <tableColumn id="13" xr3:uid="{00000000-0010-0000-0100-00000D000000}" name="Depth7" headerRowDxfId="143" dataDxfId="142">
      <calculatedColumnFormula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calculatedColumnFormula>
    </tableColumn>
    <tableColumn id="14" xr3:uid="{00000000-0010-0000-0100-00000E000000}" name="Depth8" headerRowDxfId="141" dataDxfId="140">
      <calculatedColumnFormula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calculatedColumnFormula>
    </tableColumn>
    <tableColumn id="15" xr3:uid="{00000000-0010-0000-0100-00000F000000}" name="Depth9" headerRowDxfId="139" dataDxfId="138">
      <calculatedColumnFormula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calculatedColumnFormula>
    </tableColumn>
    <tableColumn id="16" xr3:uid="{00000000-0010-0000-0100-000010000000}" name="Depth10" headerRowDxfId="137" dataDxfId="136">
      <calculatedColumnFormula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calculatedColumnFormula>
    </tableColumn>
    <tableColumn id="17" xr3:uid="{00000000-0010-0000-0100-000011000000}" name="Depth11" headerRowDxfId="135" dataDxfId="134">
      <calculatedColumnFormula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calculatedColumnFormula>
    </tableColumn>
    <tableColumn id="18" xr3:uid="{00000000-0010-0000-0100-000012000000}" name="Depth12" headerRowDxfId="133" dataDxfId="132">
      <calculatedColumnFormula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calculatedColumnFormula>
    </tableColumn>
    <tableColumn id="19" xr3:uid="{00000000-0010-0000-0100-000013000000}" name="Depth13" headerRowDxfId="131" dataDxfId="130">
      <calculatedColumnFormula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calculatedColumnFormula>
    </tableColumn>
    <tableColumn id="20" xr3:uid="{00000000-0010-0000-0100-000014000000}" name="Depth14" headerRowDxfId="129" dataDxfId="128">
      <calculatedColumnFormula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calculatedColumnFormula>
    </tableColumn>
    <tableColumn id="21" xr3:uid="{00000000-0010-0000-0100-000015000000}" name="Depth15" headerRowDxfId="127" dataDxfId="126">
      <calculatedColumnFormula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calculatedColumnFormula>
    </tableColumn>
    <tableColumn id="22" xr3:uid="{00000000-0010-0000-0100-000016000000}" name="Depth16" headerRowDxfId="125" dataDxfId="124">
      <calculatedColumnFormula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calculatedColumnFormula>
    </tableColumn>
    <tableColumn id="23" xr3:uid="{00000000-0010-0000-0100-000017000000}" name="Depth17" headerRowDxfId="123" dataDxfId="122">
      <calculatedColumnFormula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calculatedColumnFormula>
    </tableColumn>
    <tableColumn id="32" xr3:uid="{00000000-0010-0000-0100-000020000000}" name="Depth18" headerRowDxfId="121" dataDxfId="120">
      <calculatedColumnFormula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calculatedColumnFormula>
    </tableColumn>
    <tableColumn id="31" xr3:uid="{00000000-0010-0000-0100-00001F000000}" name="Depth19" headerRowDxfId="119" dataDxfId="118">
      <calculatedColumnFormula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calculatedColumnFormula>
    </tableColumn>
    <tableColumn id="30" xr3:uid="{00000000-0010-0000-0100-00001E000000}" name="Depth20" headerRowDxfId="117" dataDxfId="116">
      <calculatedColumnFormula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calculatedColumnFormula>
    </tableColumn>
    <tableColumn id="37" xr3:uid="{00000000-0010-0000-0100-000025000000}" name="Depth21" headerRowDxfId="115" dataDxfId="114">
      <calculatedColumnFormula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calculatedColumnFormula>
    </tableColumn>
    <tableColumn id="36" xr3:uid="{00000000-0010-0000-0100-000024000000}" name="Depth22" headerRowDxfId="113" dataDxfId="112">
      <calculatedColumnFormula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calculatedColumnFormula>
    </tableColumn>
    <tableColumn id="35" xr3:uid="{00000000-0010-0000-0100-000023000000}" name="Depth23" headerRowDxfId="111" dataDxfId="110">
      <calculatedColumnFormula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calculatedColumnFormula>
    </tableColumn>
    <tableColumn id="24" xr3:uid="{00000000-0010-0000-0100-000018000000}" name="Bed1" headerRowDxfId="109" dataDxfId="108"/>
    <tableColumn id="25" xr3:uid="{00000000-0010-0000-0100-000019000000}" name="Bed2" headerRowDxfId="107" dataDxfId="106"/>
    <tableColumn id="38" xr3:uid="{0A4A5181-17CD-43A9-B4EB-AE37CA9FB21B}" name="Bed_Depth" headerRowDxfId="105" dataDxfId="104">
      <calculatedColumnFormula>DATA[[#This Row],[Bedding]]/1000</calculatedColumnFormula>
    </tableColumn>
    <tableColumn id="29" xr3:uid="{00000000-0010-0000-0100-00001D000000}" name="Gradient" headerRowDxfId="103" dataDxfId="102">
      <calculatedColumnFormula>IF(OR(Depths[[#This Row],[From_Dp]]=0,Depths[[#This Row],[To_Dp]]=0),"",DATA[[#This Row],[Length]]/ABS(Depths[[#This Row],[To_Dp]]-Depths[[#This Row],[From_Dp]]))</calculatedColumnFormula>
    </tableColumn>
    <tableColumn id="26" xr3:uid="{00000000-0010-0000-0100-00001A000000}" name="TOTAL" headerRowDxfId="101" dataDxfId="100">
      <calculatedColumnFormula>IF(OR(DATA[[#This Row],[TOTAL]],COUNTIF(Depths[[#This Row],[From]:[Dia]],"*total*")&gt;0),TRUE,FALSE)</calculatedColumnFormula>
    </tableColumn>
    <tableColumn id="27" xr3:uid="{00000000-0010-0000-0100-00001B000000}" name="FLAG" headerRowDxfId="99" dataDxfId="98">
      <calculatedColumnFormula>IF(Depths[[#This Row],[TOTAL]],"",Depths[[#This Row],[COUNT]])</calculatedColumnFormula>
    </tableColumn>
    <tableColumn id="28" xr3:uid="{00000000-0010-0000-0100-00001C000000}" name="COUNT" headerRowDxfId="97" dataDxfId="96">
      <calculatedColumnFormula>IF(Depths[[#This Row],[TOTAL]],$AJ4+1,IF($AJ4="COUNT",1,$AJ4))</calculatedColumnFormula>
    </tableColumn>
    <tableColumn id="33" xr3:uid="{00000000-0010-0000-0100-000021000000}" name="CHECKSUM" headerRowDxfId="95" dataDxfId="94">
      <calculatedColumnFormula>ABS(DATA[[#This Row],[Length]]-Depths[[#This Row],[Length]])</calculatedColumnFormula>
    </tableColumn>
  </tableColumns>
  <tableStyleInfo name="Depth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aterial" displayName="Material" ref="A5:AH72" headerRowCount="0" totalsRowShown="0" dataDxfId="91" tableBorderDxfId="90">
  <tableColumns count="34">
    <tableColumn id="1" xr3:uid="{00000000-0010-0000-0200-000001000000}" name="From" headerRowDxfId="89" dataDxfId="88">
      <calculatedColumnFormula>DATA[[#This Row],[From_ID]]&amp;IF(COUNTA(DATA[[#This Row],[From_ID2]]),"/"&amp;DATA[[#This Row],[From_ID2]],)</calculatedColumnFormula>
    </tableColumn>
    <tableColumn id="3" xr3:uid="{00000000-0010-0000-0200-000003000000}" name="To" headerRowDxfId="87" dataDxfId="86">
      <calculatedColumnFormula>DATA[[#This Row],[To_ID]]</calculatedColumnFormula>
    </tableColumn>
    <tableColumn id="5" xr3:uid="{00000000-0010-0000-0200-000005000000}" name="Dia" headerRowDxfId="85" dataDxfId="84">
      <calculatedColumnFormula>DATA[[#This Row],[Dia]]</calculatedColumnFormula>
    </tableColumn>
    <tableColumn id="6" xr3:uid="{00000000-0010-0000-0200-000006000000}" name="Length" headerRowDxfId="83" dataDxfId="82">
      <calculatedColumnFormula>IF(Material[[#This Row],[TOTAL]],SUMIF(Material[FLAG],Material[[#This Row],[COUNT]]-1,Material[Length]),DATA[[#This Row],[Length]])</calculatedColumnFormula>
    </tableColumn>
    <tableColumn id="7" xr3:uid="{00000000-0010-0000-0200-000007000000}" name="Std_Pipes" headerRowDxfId="81" dataDxfId="80">
      <calculatedColumnFormula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calculatedColumnFormula>
    </tableColumn>
    <tableColumn id="8" xr3:uid="{00000000-0010-0000-0200-000008000000}" name="Rock_Pipes" headerRowDxfId="79" dataDxfId="78">
      <calculatedColumnFormula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calculatedColumnFormula>
    </tableColumn>
    <tableColumn id="9" xr3:uid="{00000000-0010-0000-0200-000009000000}" name="Coupl" headerRowDxfId="77" dataDxfId="76">
      <calculatedColumnFormula>IF(Material[[#This Row],[TOTAL]],SUMIF(Material[FLAG],Material[[#This Row],[COUNT]]-1,Material[Coupl]),IF(ISNUMBER(Material[[#This Row],[Std_Pipes]]),CEILING(MOD(Material[[#This Row],[Std_Pipes]],1),1)+Material[[#This Row],[Rock_Pipes]],""))</calculatedColumnFormula>
    </tableColumn>
    <tableColumn id="10" xr3:uid="{00000000-0010-0000-0200-00000A000000}" name="ObJun4" headerRowDxfId="75" dataDxfId="74">
      <calculatedColumnFormula>IF(Material[[#This Row],[TOTAL]],SUMIF(Material[FLAG],Material[[#This Row],[COUNT]]-1,Material[ObJun4]),COUNTIF(Material[JUN_ID],CONCATENATE(Material[[#This Row],[From]],"/",Material[[#This Row],[To]],H$4,"JunOb")))</calculatedColumnFormula>
    </tableColumn>
    <tableColumn id="11" xr3:uid="{00000000-0010-0000-0200-00000B000000}" name="ObJun6" headerRowDxfId="73" dataDxfId="72">
      <calculatedColumnFormula>IF(Material[[#This Row],[TOTAL]],SUMIF(Material[FLAG],Material[[#This Row],[COUNT]]-1,Material[ObJun6]),COUNTIF(Material[JUN_ID],CONCATENATE(Material[[#This Row],[From]],"/",Material[[#This Row],[To]],I$4,"JunOb")))</calculatedColumnFormula>
    </tableColumn>
    <tableColumn id="12" xr3:uid="{00000000-0010-0000-0200-00000C000000}" name="ObJun9" headerRowDxfId="71" dataDxfId="70">
      <calculatedColumnFormula>IF(Material[[#This Row],[TOTAL]],SUMIF(Material[FLAG],Material[[#This Row],[COUNT]]-1,Material[ObJun9]),COUNTIF(Material[JUN_ID],CONCATENATE(Material[[#This Row],[From]],"/",Material[[#This Row],[To]],J$4,"JunOb")))</calculatedColumnFormula>
    </tableColumn>
    <tableColumn id="13" xr3:uid="{00000000-0010-0000-0200-00000D000000}" name="ObJun12" headerRowDxfId="69" dataDxfId="68">
      <calculatedColumnFormula>IF(Material[[#This Row],[TOTAL]],SUMIF(Material[FLAG],Material[[#This Row],[COUNT]]-1,Material[ObJun12]),COUNTIF(Material[JUN_ID],CONCATENATE(Material[[#This Row],[From]],"/",Material[[#This Row],[To]],K$4,"JunOb")))</calculatedColumnFormula>
    </tableColumn>
    <tableColumn id="14" xr3:uid="{00000000-0010-0000-0200-00000E000000}" name="SqJun4" headerRowDxfId="67" dataDxfId="66">
      <calculatedColumnFormula>IF(Material[[#This Row],[TOTAL]],SUMIF(Material[FLAG],Material[[#This Row],[COUNT]]-1,Material[SqJun4]),COUNTIF(Material[JUN_ID],CONCATENATE(Material[[#This Row],[From]],"/",Material[[#This Row],[To]],L$4,"JunSq")))</calculatedColumnFormula>
    </tableColumn>
    <tableColumn id="15" xr3:uid="{00000000-0010-0000-0200-00000F000000}" name="SqJun6" headerRowDxfId="65" dataDxfId="64">
      <calculatedColumnFormula>IF(Material[[#This Row],[TOTAL]],SUMIF(Material[FLAG],Material[[#This Row],[COUNT]]-1,Material[SqJun6]),COUNTIF(Material[JUN_ID],CONCATENATE(Material[[#This Row],[From]],"/",Material[[#This Row],[To]],M$4,"JunSq")))</calculatedColumnFormula>
    </tableColumn>
    <tableColumn id="16" xr3:uid="{00000000-0010-0000-0200-000010000000}" name="SqJun9" headerRowDxfId="63" dataDxfId="62">
      <calculatedColumnFormula>IF(Material[[#This Row],[TOTAL]],SUMIF(Material[FLAG],Material[[#This Row],[COUNT]]-1,Material[SqJun9]),COUNTIF(Material[JUN_ID],CONCATENATE(Material[[#This Row],[From]],"/",Material[[#This Row],[To]],N$4,"JunSq")))</calculatedColumnFormula>
    </tableColumn>
    <tableColumn id="17" xr3:uid="{00000000-0010-0000-0200-000011000000}" name="SqJun12" headerRowDxfId="61" dataDxfId="60">
      <calculatedColumnFormula>IF(Material[[#This Row],[TOTAL]],SUMIF(Material[FLAG],Material[[#This Row],[COUNT]]-1,Material[SqJun12]),COUNTIF(Material[JUN_ID],CONCATENATE(Material[[#This Row],[From]],"/",Material[[#This Row],[To]],O$4,"JunSq")))</calculatedColumnFormula>
    </tableColumn>
    <tableColumn id="18" xr3:uid="{00000000-0010-0000-0200-000012000000}" name="Bend15" headerRowDxfId="59" dataDxfId="58">
      <calculatedColumnFormula>IF(Material[[#This Row],[TOTAL]],SUMIF(Material[FLAG],Material[[#This Row],[COUNT]]-1,Material[Bend15]),"")</calculatedColumnFormula>
    </tableColumn>
    <tableColumn id="19" xr3:uid="{00000000-0010-0000-0200-000013000000}" name="Bend30" headerRowDxfId="57" dataDxfId="56">
      <calculatedColumnFormula>IF(Material[[#This Row],[TOTAL]],SUMIF(Material[FLAG],Material[[#This Row],[COUNT]]-1,Material[Bend30]),"")</calculatedColumnFormula>
    </tableColumn>
    <tableColumn id="20" xr3:uid="{00000000-0010-0000-0200-000014000000}" name="Bend45" headerRowDxfId="55" dataDxfId="54">
      <calculatedColumnFormula>IF(Material[[#This Row],[TOTAL]],SUMIF(Material[FLAG],Material[[#This Row],[COUNT]]-1,Material[Bend45]),"")</calculatedColumnFormula>
    </tableColumn>
    <tableColumn id="21" xr3:uid="{00000000-0010-0000-0200-000015000000}" name="Bend90" headerRowDxfId="53" dataDxfId="52">
      <calculatedColumnFormula>IF(Material[[#This Row],[TOTAL]],SUMIF(Material[FLAG],Material[[#This Row],[COUNT]]-1,Material[Bend90]),"")</calculatedColumnFormula>
    </tableColumn>
    <tableColumn id="22" xr3:uid="{00000000-0010-0000-0200-000016000000}" name="Rest_Bend" headerRowDxfId="51" dataDxfId="50">
      <calculatedColumnFormula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calculatedColumnFormula>
    </tableColumn>
    <tableColumn id="23" xr3:uid="{00000000-0010-0000-0200-000017000000}" name="Inlet_Gully" headerRowDxfId="49" dataDxfId="48">
      <calculatedColumnFormula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calculatedColumnFormula>
    </tableColumn>
    <tableColumn id="32" xr3:uid="{00000000-0010-0000-0200-000020000000}" name="Gully" headerRowDxfId="47" dataDxfId="46">
      <calculatedColumnFormula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calculatedColumnFormula>
    </tableColumn>
    <tableColumn id="31" xr3:uid="{00000000-0010-0000-0200-00001F000000}" name="Road_Gully" headerRowDxfId="45" dataDxfId="44">
      <calculatedColumnFormula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calculatedColumnFormula>
    </tableColumn>
    <tableColumn id="30" xr3:uid="{00000000-0010-0000-0200-00001E000000}" name="Yard_Gully" headerRowDxfId="43" dataDxfId="42">
      <calculatedColumnFormula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calculatedColumnFormula>
    </tableColumn>
    <tableColumn id="37" xr3:uid="{00000000-0010-0000-0200-000025000000}" name="Rod_Eye" headerRowDxfId="41" dataDxfId="40">
      <calculatedColumnFormula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calculatedColumnFormula>
    </tableColumn>
    <tableColumn id="36" xr3:uid="{00000000-0010-0000-0200-000024000000}" name="Acc1" headerRowDxfId="39" dataDxfId="38">
      <calculatedColumnFormula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calculatedColumnFormula>
    </tableColumn>
    <tableColumn id="35" xr3:uid="{00000000-0010-0000-0200-000023000000}" name="Acc2" headerRowDxfId="37" dataDxfId="36">
      <calculatedColumnFormula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calculatedColumnFormula>
    </tableColumn>
    <tableColumn id="24" xr3:uid="{00000000-0010-0000-0200-000018000000}" name="Material" headerRowDxfId="35" dataDxfId="34">
      <calculatedColumnFormula>DATA[[#This Row],[Product]]</calculatedColumnFormula>
    </tableColumn>
    <tableColumn id="25" xr3:uid="{00000000-0010-0000-0200-000019000000}" name="Fnd_X" headerRowDxfId="33" dataDxfId="32">
      <calculatedColumnFormula>DATA[[#This Row],[Fnd_Xd]]</calculatedColumnFormula>
    </tableColumn>
    <tableColumn id="29" xr3:uid="{00000000-0010-0000-0200-00001D000000}" name="JUNCTION" headerRowDxfId="31" dataDxfId="30">
      <calculatedColumnFormula>IF(ISNUMBER(SEARCH("jun",DATA[[#This Row],[From_Type]])),TRUE,FALSE)</calculatedColumnFormula>
    </tableColumn>
    <tableColumn id="2" xr3:uid="{00000000-0010-0000-0200-000002000000}" name="JUN_ID" headerRowDxfId="29" dataDxfId="28">
      <calculatedColumnFormula>IF(Material[[#This Row],[JUNCTION]],CONCATENATE(Material[[#This Row],[From]],Material[[#This Row],[Dia]],DATA[[#This Row],[From_Type]]),"")</calculatedColumnFormula>
    </tableColumn>
    <tableColumn id="26" xr3:uid="{00000000-0010-0000-0200-00001A000000}" name="TOTAL" headerRowDxfId="27" dataDxfId="26">
      <calculatedColumnFormula>IF(OR(DATA[[#This Row],[TOTAL]],COUNTIF(Material[[#This Row],[From]:[Dia]],"*total*")&gt;0),TRUE,FALSE)</calculatedColumnFormula>
    </tableColumn>
    <tableColumn id="27" xr3:uid="{00000000-0010-0000-0200-00001B000000}" name="FLAG" headerRowDxfId="25" dataDxfId="24">
      <calculatedColumnFormula>IF(Material[[#This Row],[TOTAL]],"",Material[[#This Row],[COUNT]])</calculatedColumnFormula>
    </tableColumn>
    <tableColumn id="28" xr3:uid="{00000000-0010-0000-0200-00001C000000}" name="COUNT" headerRowDxfId="23" dataDxfId="22">
      <calculatedColumnFormula>IF(Material[[#This Row],[TOTAL]],$AH4+1,IF($AH4="COUNT",1,$AH4))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ipe_Length" displayName="Pipe_Length" ref="A18:G26" totalsRowShown="0" headerRowDxfId="21" dataDxfId="20" headerRowCellStyle="Normal" dataCellStyle="Normal">
  <sortState xmlns:xlrd2="http://schemas.microsoft.com/office/spreadsheetml/2017/richdata2" ref="A19:G26">
    <sortCondition ref="A18:A26"/>
  </sortState>
  <tableColumns count="7">
    <tableColumn id="1" xr3:uid="{00000000-0010-0000-0300-000001000000}" name="Diameter" dataDxfId="19" dataCellStyle="Normal"/>
    <tableColumn id="2" xr3:uid="{00000000-0010-0000-0300-000002000000}" name="Cast Iron" dataDxfId="18" dataCellStyle="Normal"/>
    <tableColumn id="3" xr3:uid="{00000000-0010-0000-0300-000003000000}" name="Clay" dataDxfId="17" dataCellStyle="Normal"/>
    <tableColumn id="4" xr3:uid="{00000000-0010-0000-0300-000004000000}" name="Concrete" dataDxfId="16" dataCellStyle="Normal"/>
    <tableColumn id="5" xr3:uid="{00000000-0010-0000-0300-000005000000}" name="Plastic" dataDxfId="15" dataCellStyle="Normal"/>
    <tableColumn id="6" xr3:uid="{00000000-0010-0000-0300-000006000000}" name="Twinwall" dataDxfId="14" dataCellStyle="Normal"/>
    <tableColumn id="7" xr3:uid="{00000000-0010-0000-0300-000007000000}" name="Ultrarib" dataDxfId="13" dataCellStyle="Normal"/>
  </tableColumns>
  <tableStyleInfo name="TableStyleDark2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Allowance" displayName="Allowance" ref="A2:L15" totalsRowShown="0" headerRowDxfId="12" headerRowBorderDxfId="11" headerRowCellStyle="Normal" dataCellStyle="Normal">
  <tableColumns count="12">
    <tableColumn id="1" xr3:uid="{00000000-0010-0000-0400-000001000000}" name="Type" dataCellStyle="Normal"/>
    <tableColumn id="2" xr3:uid="{00000000-0010-0000-0400-000002000000}" name="Rocker" dataDxfId="10" dataCellStyle="Normal"/>
    <tableColumn id="3" xr3:uid="{00000000-0010-0000-0400-000003000000}" name="Rest Bend" dataDxfId="9" dataCellStyle="Normal"/>
    <tableColumn id="4" xr3:uid="{00000000-0010-0000-0400-000004000000}" name="Junction" dataDxfId="8" dataCellStyle="Normal"/>
    <tableColumn id="5" xr3:uid="{00000000-0010-0000-0400-000005000000}" name="Saddle" dataDxfId="7" dataCellStyle="Normal"/>
    <tableColumn id="6" xr3:uid="{00000000-0010-0000-0400-000006000000}" name="Inlet Gully" dataDxfId="6" dataCellStyle="Normal"/>
    <tableColumn id="7" xr3:uid="{00000000-0010-0000-0400-000007000000}" name="Gully" dataDxfId="5" dataCellStyle="Normal"/>
    <tableColumn id="8" xr3:uid="{00000000-0010-0000-0400-000008000000}" name="Road Gully" dataDxfId="4" dataCellStyle="Normal"/>
    <tableColumn id="9" xr3:uid="{00000000-0010-0000-0400-000009000000}" name="Yard Gully" dataDxfId="3" dataCellStyle="Normal"/>
    <tableColumn id="10" xr3:uid="{00000000-0010-0000-0400-00000A000000}" name="Rod Eye" dataDxfId="2" dataCellStyle="Normal"/>
    <tableColumn id="11" xr3:uid="{00000000-0010-0000-0400-00000B000000}" name="Item 1" dataDxfId="1" dataCellStyle="Normal"/>
    <tableColumn id="12" xr3:uid="{00000000-0010-0000-0400-00000C000000}" name="Item 2" dataDxfId="0" dataCellStyle="Normal"/>
  </tableColumns>
  <tableStyleInfo name="TableStyleMedium8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Q72"/>
  <sheetViews>
    <sheetView tabSelected="1" zoomScale="130" zoomScaleNormal="130" workbookViewId="0">
      <pane ySplit="4" topLeftCell="A5" activePane="bottomLeft" state="frozen"/>
      <selection pane="bottomLeft" activeCell="A5" sqref="A5"/>
    </sheetView>
  </sheetViews>
  <sheetFormatPr defaultColWidth="8.85546875" defaultRowHeight="15" x14ac:dyDescent="0.25"/>
  <cols>
    <col min="1" max="1" width="11.5703125" style="61" bestFit="1" customWidth="1"/>
    <col min="2" max="2" width="10.28515625" style="61" customWidth="1"/>
    <col min="3" max="3" width="10.140625" style="61" customWidth="1"/>
    <col min="4" max="4" width="12" style="61" customWidth="1"/>
    <col min="5" max="5" width="6.7109375" style="3" customWidth="1"/>
    <col min="6" max="7" width="7.28515625" style="61" customWidth="1"/>
    <col min="8" max="8" width="10.140625" style="61" customWidth="1"/>
    <col min="9" max="9" width="12" style="61" bestFit="1" customWidth="1"/>
    <col min="10" max="10" width="6.140625" style="3" bestFit="1" customWidth="1"/>
    <col min="11" max="12" width="7.28515625" style="61" customWidth="1"/>
    <col min="13" max="13" width="8.28515625" style="3" bestFit="1" customWidth="1"/>
    <col min="14" max="14" width="6.7109375" style="3" bestFit="1" customWidth="1"/>
    <col min="15" max="15" width="8.42578125" style="3" bestFit="1" customWidth="1"/>
    <col min="16" max="16" width="7.85546875" style="3" bestFit="1" customWidth="1"/>
    <col min="17" max="16384" width="8.85546875" style="61"/>
  </cols>
  <sheetData>
    <row r="1" spans="1:17" x14ac:dyDescent="0.25">
      <c r="A1" s="60" t="s">
        <v>3</v>
      </c>
      <c r="B1" s="87" t="s">
        <v>0</v>
      </c>
      <c r="C1" s="175" t="s">
        <v>153</v>
      </c>
      <c r="D1" s="175"/>
      <c r="E1" s="175"/>
      <c r="F1" s="87" t="s">
        <v>1</v>
      </c>
      <c r="G1" s="88">
        <v>9999</v>
      </c>
      <c r="H1" s="2"/>
      <c r="I1" s="87" t="s">
        <v>60</v>
      </c>
      <c r="J1" s="89" t="s">
        <v>81</v>
      </c>
      <c r="L1" s="2"/>
      <c r="M1" s="61"/>
      <c r="N1" s="61"/>
      <c r="O1" s="61"/>
      <c r="P1" s="61"/>
    </row>
    <row r="2" spans="1:17" ht="15.75" thickBot="1" x14ac:dyDescent="0.3">
      <c r="B2" s="87" t="s">
        <v>59</v>
      </c>
      <c r="C2" s="180" t="s">
        <v>154</v>
      </c>
      <c r="D2" s="180"/>
      <c r="E2" s="180"/>
      <c r="F2" s="87" t="s">
        <v>2</v>
      </c>
      <c r="G2" s="181">
        <v>43816</v>
      </c>
      <c r="H2" s="181"/>
      <c r="I2" s="62"/>
      <c r="J2" s="2"/>
      <c r="K2" s="2"/>
      <c r="L2" s="2"/>
      <c r="M2" s="61"/>
      <c r="N2" s="61"/>
      <c r="O2" s="61"/>
      <c r="P2" s="61"/>
    </row>
    <row r="3" spans="1:17" x14ac:dyDescent="0.25">
      <c r="A3" s="79" t="s">
        <v>34</v>
      </c>
      <c r="B3" s="176" t="s">
        <v>47</v>
      </c>
      <c r="C3" s="177"/>
      <c r="D3" s="77" t="s">
        <v>8</v>
      </c>
      <c r="E3" s="77" t="s">
        <v>6</v>
      </c>
      <c r="F3" s="72" t="s">
        <v>4</v>
      </c>
      <c r="G3" s="73" t="s">
        <v>5</v>
      </c>
      <c r="H3" s="68" t="s">
        <v>46</v>
      </c>
      <c r="I3" s="77" t="s">
        <v>8</v>
      </c>
      <c r="J3" s="77" t="s">
        <v>6</v>
      </c>
      <c r="K3" s="72" t="s">
        <v>4</v>
      </c>
      <c r="L3" s="73" t="s">
        <v>5</v>
      </c>
      <c r="M3" s="66" t="s">
        <v>67</v>
      </c>
      <c r="N3" s="66" t="s">
        <v>28</v>
      </c>
      <c r="O3" s="68" t="s">
        <v>29</v>
      </c>
      <c r="P3" s="69" t="s">
        <v>31</v>
      </c>
      <c r="Q3" s="66" t="s">
        <v>51</v>
      </c>
    </row>
    <row r="4" spans="1:17" ht="15.75" thickBot="1" x14ac:dyDescent="0.3">
      <c r="A4" s="80" t="s">
        <v>43</v>
      </c>
      <c r="B4" s="178" t="s">
        <v>48</v>
      </c>
      <c r="C4" s="179"/>
      <c r="D4" s="78" t="s">
        <v>43</v>
      </c>
      <c r="E4" s="78" t="s">
        <v>44</v>
      </c>
      <c r="F4" s="74" t="s">
        <v>44</v>
      </c>
      <c r="G4" s="75" t="s">
        <v>44</v>
      </c>
      <c r="H4" s="70" t="s">
        <v>45</v>
      </c>
      <c r="I4" s="78" t="s">
        <v>43</v>
      </c>
      <c r="J4" s="78" t="s">
        <v>44</v>
      </c>
      <c r="K4" s="74" t="s">
        <v>44</v>
      </c>
      <c r="L4" s="75" t="s">
        <v>44</v>
      </c>
      <c r="M4" s="67" t="s">
        <v>49</v>
      </c>
      <c r="N4" s="67" t="s">
        <v>44</v>
      </c>
      <c r="O4" s="70" t="s">
        <v>50</v>
      </c>
      <c r="P4" s="71" t="s">
        <v>49</v>
      </c>
      <c r="Q4" s="67" t="s">
        <v>80</v>
      </c>
    </row>
    <row r="5" spans="1:17" x14ac:dyDescent="0.25">
      <c r="A5" s="91" t="s">
        <v>36</v>
      </c>
      <c r="B5" s="136" t="s">
        <v>135</v>
      </c>
      <c r="C5" s="3"/>
      <c r="D5" s="1"/>
      <c r="E5" s="83"/>
      <c r="F5" s="81"/>
      <c r="G5" s="82"/>
      <c r="H5" s="122"/>
      <c r="I5" s="3"/>
      <c r="J5" s="83"/>
      <c r="K5" s="84"/>
      <c r="L5" s="82"/>
      <c r="M5" s="64"/>
      <c r="N5" s="85"/>
      <c r="O5" s="86"/>
      <c r="P5" s="65"/>
      <c r="Q5" s="92" t="b">
        <f>IF(COUNTIF(DATA[[#This Row],[From_ID]:[Dia]],"*total*")&gt;0,TRUE,FALSE)</f>
        <v>0</v>
      </c>
    </row>
    <row r="6" spans="1:17" x14ac:dyDescent="0.25">
      <c r="A6" s="91" t="str">
        <f>A5</f>
        <v>Plastic</v>
      </c>
      <c r="B6" s="76" t="s">
        <v>86</v>
      </c>
      <c r="C6" s="3"/>
      <c r="D6" s="1" t="s">
        <v>30</v>
      </c>
      <c r="E6" s="83">
        <f>IF(DATA[[#This Row],[From_Type]]="Manhole",VLOOKUP(DATA[[#This Row],[From_ID]],MH_SCHED[],5,FALSE),DATA[[#This Row],[From_CL]]-DATA[[#This Row],[From_IL]])</f>
        <v>0.60000000000000142</v>
      </c>
      <c r="F6" s="81"/>
      <c r="G6" s="82"/>
      <c r="H6" s="122" t="s">
        <v>87</v>
      </c>
      <c r="I6" s="3" t="s">
        <v>30</v>
      </c>
      <c r="J6" s="83">
        <f>IF(DATA[[#This Row],[To_Type]]="Manhole",VLOOKUP(DATA[[#This Row],[To_ID]],MH_SCHED[],5,FALSE),DATA[[#This Row],[To_CL]]-DATA[[#This Row],[To_IL]])</f>
        <v>1.5499999999999972</v>
      </c>
      <c r="K6" s="84"/>
      <c r="L6" s="82"/>
      <c r="M6" s="64">
        <v>100</v>
      </c>
      <c r="N6" s="85">
        <v>16.3</v>
      </c>
      <c r="O6" s="86"/>
      <c r="P6" s="65">
        <v>100</v>
      </c>
      <c r="Q6" s="92" t="b">
        <f>IF(COUNTIF(DATA[[#This Row],[From_ID]:[Dia]],"*total*")&gt;0,TRUE,FALSE)</f>
        <v>0</v>
      </c>
    </row>
    <row r="7" spans="1:17" x14ac:dyDescent="0.25">
      <c r="A7" s="91" t="str">
        <f t="shared" ref="A7:A72" si="0">A6</f>
        <v>Plastic</v>
      </c>
      <c r="B7" s="76" t="s">
        <v>87</v>
      </c>
      <c r="C7" s="3"/>
      <c r="D7" s="1" t="s">
        <v>30</v>
      </c>
      <c r="E7" s="83">
        <f>IF(DATA[[#This Row],[From_Type]]="Manhole",VLOOKUP(DATA[[#This Row],[From_ID]],MH_SCHED[],5,FALSE),DATA[[#This Row],[From_CL]]-DATA[[#This Row],[From_IL]])</f>
        <v>1.5499999999999972</v>
      </c>
      <c r="F7" s="81"/>
      <c r="G7" s="82"/>
      <c r="H7" s="122" t="s">
        <v>14</v>
      </c>
      <c r="I7" s="3" t="s">
        <v>14</v>
      </c>
      <c r="J7" s="83">
        <f>IF(DATA[[#This Row],[To_Type]]="Manhole",VLOOKUP(DATA[[#This Row],[To_ID]],MH_SCHED[],5,FALSE),DATA[[#This Row],[To_CL]]-DATA[[#This Row],[To_IL]])</f>
        <v>0.3</v>
      </c>
      <c r="K7" s="84">
        <v>0.3</v>
      </c>
      <c r="L7" s="82"/>
      <c r="M7" s="64">
        <v>100</v>
      </c>
      <c r="N7" s="85">
        <v>16.399999999999999</v>
      </c>
      <c r="O7" s="86"/>
      <c r="P7" s="65">
        <v>100</v>
      </c>
      <c r="Q7" s="92" t="b">
        <f>IF(COUNTIF(DATA[[#This Row],[From_ID]:[Dia]],"*total*")&gt;0,TRUE,FALSE)</f>
        <v>0</v>
      </c>
    </row>
    <row r="8" spans="1:17" x14ac:dyDescent="0.25">
      <c r="A8" s="91" t="str">
        <f t="shared" si="0"/>
        <v>Plastic</v>
      </c>
      <c r="B8" s="76" t="s">
        <v>93</v>
      </c>
      <c r="C8" s="3"/>
      <c r="D8" s="1" t="s">
        <v>30</v>
      </c>
      <c r="E8" s="83">
        <f>IF(DATA[[#This Row],[From_Type]]="Manhole",VLOOKUP(DATA[[#This Row],[From_ID]],MH_SCHED[],5,FALSE),DATA[[#This Row],[From_CL]]-DATA[[#This Row],[From_IL]])</f>
        <v>0.85000000000000142</v>
      </c>
      <c r="F8" s="81"/>
      <c r="G8" s="82"/>
      <c r="H8" s="122" t="s">
        <v>14</v>
      </c>
      <c r="I8" s="3" t="s">
        <v>14</v>
      </c>
      <c r="J8" s="83">
        <f>IF(DATA[[#This Row],[To_Type]]="Manhole",VLOOKUP(DATA[[#This Row],[To_ID]],MH_SCHED[],5,FALSE),DATA[[#This Row],[To_CL]]-DATA[[#This Row],[To_IL]])</f>
        <v>0.3</v>
      </c>
      <c r="K8" s="84">
        <v>0.3</v>
      </c>
      <c r="L8" s="82"/>
      <c r="M8" s="64">
        <v>100</v>
      </c>
      <c r="N8" s="85">
        <v>12.6</v>
      </c>
      <c r="O8" s="86"/>
      <c r="P8" s="65">
        <v>100</v>
      </c>
      <c r="Q8" s="92" t="b">
        <f>IF(COUNTIF(DATA[[#This Row],[From_ID]:[Dia]],"*total*")&gt;0,TRUE,FALSE)</f>
        <v>0</v>
      </c>
    </row>
    <row r="9" spans="1:17" x14ac:dyDescent="0.25">
      <c r="A9" s="91" t="str">
        <f t="shared" si="0"/>
        <v>Plastic</v>
      </c>
      <c r="B9" s="76" t="s">
        <v>97</v>
      </c>
      <c r="C9" s="3"/>
      <c r="D9" s="1" t="s">
        <v>30</v>
      </c>
      <c r="E9" s="83">
        <f>IF(DATA[[#This Row],[From_Type]]="Manhole",VLOOKUP(DATA[[#This Row],[From_ID]],MH_SCHED[],5,FALSE),DATA[[#This Row],[From_CL]]-DATA[[#This Row],[From_IL]])</f>
        <v>1.1599999999999966</v>
      </c>
      <c r="F9" s="81"/>
      <c r="G9" s="82"/>
      <c r="H9" s="122" t="s">
        <v>98</v>
      </c>
      <c r="I9" s="3" t="s">
        <v>30</v>
      </c>
      <c r="J9" s="83">
        <f>IF(DATA[[#This Row],[To_Type]]="Manhole",VLOOKUP(DATA[[#This Row],[To_ID]],MH_SCHED[],5,FALSE),DATA[[#This Row],[To_CL]]-DATA[[#This Row],[To_IL]])</f>
        <v>0.75</v>
      </c>
      <c r="K9" s="84"/>
      <c r="L9" s="82"/>
      <c r="M9" s="64">
        <v>100</v>
      </c>
      <c r="N9" s="85">
        <v>1.75</v>
      </c>
      <c r="O9" s="86"/>
      <c r="P9" s="65">
        <v>100</v>
      </c>
      <c r="Q9" s="92" t="b">
        <f>IF(COUNTIF(DATA[[#This Row],[From_ID]:[Dia]],"*total*")&gt;0,TRUE,FALSE)</f>
        <v>0</v>
      </c>
    </row>
    <row r="10" spans="1:17" x14ac:dyDescent="0.25">
      <c r="A10" s="91" t="str">
        <f t="shared" si="0"/>
        <v>Plastic</v>
      </c>
      <c r="B10" s="76" t="s">
        <v>98</v>
      </c>
      <c r="C10" s="3"/>
      <c r="D10" s="1" t="s">
        <v>30</v>
      </c>
      <c r="E10" s="83">
        <f>IF(DATA[[#This Row],[From_Type]]="Manhole",VLOOKUP(DATA[[#This Row],[From_ID]],MH_SCHED[],5,FALSE),DATA[[#This Row],[From_CL]]-DATA[[#This Row],[From_IL]])</f>
        <v>0.75</v>
      </c>
      <c r="F10" s="81"/>
      <c r="G10" s="82"/>
      <c r="H10" s="122" t="s">
        <v>99</v>
      </c>
      <c r="I10" s="3" t="s">
        <v>10</v>
      </c>
      <c r="J10" s="83">
        <f>IF(DATA[[#This Row],[To_Type]]="Manhole",VLOOKUP(DATA[[#This Row],[To_ID]],MH_SCHED[],5,FALSE),DATA[[#This Row],[To_CL]]-DATA[[#This Row],[To_IL]])</f>
        <v>0.3</v>
      </c>
      <c r="K10" s="84">
        <v>0.3</v>
      </c>
      <c r="L10" s="82"/>
      <c r="M10" s="64">
        <v>100</v>
      </c>
      <c r="N10" s="85">
        <v>3.8</v>
      </c>
      <c r="O10" s="86"/>
      <c r="P10" s="65">
        <v>100</v>
      </c>
      <c r="Q10" s="92" t="b">
        <f>IF(COUNTIF(DATA[[#This Row],[From_ID]:[Dia]],"*total*")&gt;0,TRUE,FALSE)</f>
        <v>0</v>
      </c>
    </row>
    <row r="11" spans="1:17" x14ac:dyDescent="0.25">
      <c r="A11" s="91" t="str">
        <f t="shared" si="0"/>
        <v>Plastic</v>
      </c>
      <c r="B11" s="76" t="s">
        <v>98</v>
      </c>
      <c r="C11" s="3" t="s">
        <v>99</v>
      </c>
      <c r="D11" s="1" t="s">
        <v>18</v>
      </c>
      <c r="E11" s="83">
        <f>IF(DATA[[#This Row],[From_Type]]="Manhole",VLOOKUP(DATA[[#This Row],[From_ID]],MH_SCHED[],5,FALSE),DATA[[#This Row],[From_CL]]-DATA[[#This Row],[From_IL]])</f>
        <v>0</v>
      </c>
      <c r="F11" s="81"/>
      <c r="G11" s="82"/>
      <c r="H11" s="122" t="s">
        <v>14</v>
      </c>
      <c r="I11" s="3" t="s">
        <v>14</v>
      </c>
      <c r="J11" s="83">
        <f>IF(DATA[[#This Row],[To_Type]]="Manhole",VLOOKUP(DATA[[#This Row],[To_ID]],MH_SCHED[],5,FALSE),DATA[[#This Row],[To_CL]]-DATA[[#This Row],[To_IL]])</f>
        <v>0.3</v>
      </c>
      <c r="K11" s="84">
        <v>0.3</v>
      </c>
      <c r="L11" s="82"/>
      <c r="M11" s="64">
        <v>100</v>
      </c>
      <c r="N11" s="85">
        <v>1.4</v>
      </c>
      <c r="O11" s="86"/>
      <c r="P11" s="65">
        <v>100</v>
      </c>
      <c r="Q11" s="92" t="b">
        <f>IF(COUNTIF(DATA[[#This Row],[From_ID]:[Dia]],"*total*")&gt;0,TRUE,FALSE)</f>
        <v>0</v>
      </c>
    </row>
    <row r="12" spans="1:17" x14ac:dyDescent="0.25">
      <c r="A12" s="91" t="str">
        <f t="shared" si="0"/>
        <v>Plastic</v>
      </c>
      <c r="B12" s="76" t="s">
        <v>98</v>
      </c>
      <c r="C12" s="3"/>
      <c r="D12" s="1" t="s">
        <v>30</v>
      </c>
      <c r="E12" s="83">
        <f>IF(DATA[[#This Row],[From_Type]]="Manhole",VLOOKUP(DATA[[#This Row],[From_ID]],MH_SCHED[],5,FALSE),DATA[[#This Row],[From_CL]]-DATA[[#This Row],[From_IL]])</f>
        <v>0.75</v>
      </c>
      <c r="F12" s="81"/>
      <c r="G12" s="82"/>
      <c r="H12" s="122" t="s">
        <v>100</v>
      </c>
      <c r="I12" s="3" t="s">
        <v>10</v>
      </c>
      <c r="J12" s="83">
        <f>IF(DATA[[#This Row],[To_Type]]="Manhole",VLOOKUP(DATA[[#This Row],[To_ID]],MH_SCHED[],5,FALSE),DATA[[#This Row],[To_CL]]-DATA[[#This Row],[To_IL]])</f>
        <v>0.3</v>
      </c>
      <c r="K12" s="84">
        <v>0.3</v>
      </c>
      <c r="L12" s="82"/>
      <c r="M12" s="64">
        <v>100</v>
      </c>
      <c r="N12" s="85">
        <v>4.5</v>
      </c>
      <c r="O12" s="86"/>
      <c r="P12" s="65">
        <v>100</v>
      </c>
      <c r="Q12" s="92" t="b">
        <f>IF(COUNTIF(DATA[[#This Row],[From_ID]:[Dia]],"*total*")&gt;0,TRUE,FALSE)</f>
        <v>0</v>
      </c>
    </row>
    <row r="13" spans="1:17" x14ac:dyDescent="0.25">
      <c r="A13" s="91" t="str">
        <f t="shared" si="0"/>
        <v>Plastic</v>
      </c>
      <c r="B13" s="76" t="s">
        <v>98</v>
      </c>
      <c r="C13" s="3"/>
      <c r="D13" s="1" t="s">
        <v>30</v>
      </c>
      <c r="E13" s="83">
        <f>IF(DATA[[#This Row],[From_Type]]="Manhole",VLOOKUP(DATA[[#This Row],[From_ID]],MH_SCHED[],5,FALSE),DATA[[#This Row],[From_CL]]-DATA[[#This Row],[From_IL]])</f>
        <v>0.75</v>
      </c>
      <c r="F13" s="81"/>
      <c r="G13" s="82"/>
      <c r="H13" s="122" t="s">
        <v>101</v>
      </c>
      <c r="I13" s="3" t="s">
        <v>10</v>
      </c>
      <c r="J13" s="83">
        <f>IF(DATA[[#This Row],[To_Type]]="Manhole",VLOOKUP(DATA[[#This Row],[To_ID]],MH_SCHED[],5,FALSE),DATA[[#This Row],[To_CL]]-DATA[[#This Row],[To_IL]])</f>
        <v>0.3</v>
      </c>
      <c r="K13" s="84">
        <v>0.3</v>
      </c>
      <c r="L13" s="82"/>
      <c r="M13" s="64">
        <v>100</v>
      </c>
      <c r="N13" s="85">
        <v>10.5</v>
      </c>
      <c r="O13" s="86"/>
      <c r="P13" s="65">
        <v>100</v>
      </c>
      <c r="Q13" s="92" t="b">
        <f>IF(COUNTIF(DATA[[#This Row],[From_ID]:[Dia]],"*total*")&gt;0,TRUE,FALSE)</f>
        <v>0</v>
      </c>
    </row>
    <row r="14" spans="1:17" x14ac:dyDescent="0.25">
      <c r="A14" s="91" t="str">
        <f t="shared" si="0"/>
        <v>Plastic</v>
      </c>
      <c r="B14" s="76" t="s">
        <v>97</v>
      </c>
      <c r="C14" s="3"/>
      <c r="D14" s="1" t="s">
        <v>30</v>
      </c>
      <c r="E14" s="83">
        <f>IF(DATA[[#This Row],[From_Type]]="Manhole",VLOOKUP(DATA[[#This Row],[From_ID]],MH_SCHED[],5,FALSE),DATA[[#This Row],[From_CL]]-DATA[[#This Row],[From_IL]])</f>
        <v>1.1599999999999966</v>
      </c>
      <c r="F14" s="81"/>
      <c r="G14" s="82"/>
      <c r="H14" s="122" t="s">
        <v>104</v>
      </c>
      <c r="I14" s="3" t="s">
        <v>30</v>
      </c>
      <c r="J14" s="83">
        <f>IF(DATA[[#This Row],[To_Type]]="Manhole",VLOOKUP(DATA[[#This Row],[To_ID]],MH_SCHED[],5,FALSE),DATA[[#This Row],[To_CL]]-DATA[[#This Row],[To_IL]])</f>
        <v>1.3999999999999986</v>
      </c>
      <c r="K14" s="84"/>
      <c r="L14" s="82"/>
      <c r="M14" s="64">
        <v>100</v>
      </c>
      <c r="N14" s="85">
        <v>15.3</v>
      </c>
      <c r="O14" s="86"/>
      <c r="P14" s="65">
        <v>100</v>
      </c>
      <c r="Q14" s="92" t="b">
        <f>IF(COUNTIF(DATA[[#This Row],[From_ID]:[Dia]],"*total*")&gt;0,TRUE,FALSE)</f>
        <v>0</v>
      </c>
    </row>
    <row r="15" spans="1:17" x14ac:dyDescent="0.25">
      <c r="A15" s="91" t="str">
        <f t="shared" si="0"/>
        <v>Plastic</v>
      </c>
      <c r="B15" s="76" t="s">
        <v>104</v>
      </c>
      <c r="C15" s="3"/>
      <c r="D15" s="1" t="s">
        <v>30</v>
      </c>
      <c r="E15" s="83">
        <f>IF(DATA[[#This Row],[From_Type]]="Manhole",VLOOKUP(DATA[[#This Row],[From_ID]],MH_SCHED[],5,FALSE),DATA[[#This Row],[From_CL]]-DATA[[#This Row],[From_IL]])</f>
        <v>1.3999999999999986</v>
      </c>
      <c r="F15" s="81"/>
      <c r="G15" s="82"/>
      <c r="H15" s="122" t="s">
        <v>105</v>
      </c>
      <c r="I15" s="3" t="s">
        <v>10</v>
      </c>
      <c r="J15" s="83">
        <f>IF(DATA[[#This Row],[To_Type]]="Manhole",VLOOKUP(DATA[[#This Row],[To_ID]],MH_SCHED[],5,FALSE),DATA[[#This Row],[To_CL]]-DATA[[#This Row],[To_IL]])</f>
        <v>0.3</v>
      </c>
      <c r="K15" s="84">
        <v>0.3</v>
      </c>
      <c r="L15" s="82"/>
      <c r="M15" s="64">
        <v>100</v>
      </c>
      <c r="N15" s="85">
        <v>4.45</v>
      </c>
      <c r="O15" s="86"/>
      <c r="P15" s="65">
        <v>100</v>
      </c>
      <c r="Q15" s="92" t="b">
        <f>IF(COUNTIF(DATA[[#This Row],[From_ID]:[Dia]],"*total*")&gt;0,TRUE,FALSE)</f>
        <v>0</v>
      </c>
    </row>
    <row r="16" spans="1:17" x14ac:dyDescent="0.25">
      <c r="A16" s="91" t="str">
        <f t="shared" si="0"/>
        <v>Plastic</v>
      </c>
      <c r="B16" s="76" t="s">
        <v>104</v>
      </c>
      <c r="C16" s="3" t="s">
        <v>105</v>
      </c>
      <c r="D16" s="1" t="s">
        <v>18</v>
      </c>
      <c r="E16" s="83">
        <f>IF(DATA[[#This Row],[From_Type]]="Manhole",VLOOKUP(DATA[[#This Row],[From_ID]],MH_SCHED[],5,FALSE),DATA[[#This Row],[From_CL]]-DATA[[#This Row],[From_IL]])</f>
        <v>0</v>
      </c>
      <c r="F16" s="81"/>
      <c r="G16" s="82"/>
      <c r="H16" s="122" t="s">
        <v>14</v>
      </c>
      <c r="I16" s="3" t="s">
        <v>14</v>
      </c>
      <c r="J16" s="83">
        <f>IF(DATA[[#This Row],[To_Type]]="Manhole",VLOOKUP(DATA[[#This Row],[To_ID]],MH_SCHED[],5,FALSE),DATA[[#This Row],[To_CL]]-DATA[[#This Row],[To_IL]])</f>
        <v>0.3</v>
      </c>
      <c r="K16" s="84">
        <v>0.3</v>
      </c>
      <c r="L16" s="82"/>
      <c r="M16" s="64">
        <v>100</v>
      </c>
      <c r="N16" s="85">
        <v>1</v>
      </c>
      <c r="O16" s="86"/>
      <c r="P16" s="65">
        <v>100</v>
      </c>
      <c r="Q16" s="92" t="b">
        <f>IF(COUNTIF(DATA[[#This Row],[From_ID]:[Dia]],"*total*")&gt;0,TRUE,FALSE)</f>
        <v>0</v>
      </c>
    </row>
    <row r="17" spans="1:17" x14ac:dyDescent="0.25">
      <c r="A17" s="91" t="str">
        <f t="shared" si="0"/>
        <v>Plastic</v>
      </c>
      <c r="B17" s="76" t="s">
        <v>104</v>
      </c>
      <c r="C17" s="3"/>
      <c r="D17" s="1" t="s">
        <v>30</v>
      </c>
      <c r="E17" s="83">
        <f>IF(DATA[[#This Row],[From_Type]]="Manhole",VLOOKUP(DATA[[#This Row],[From_ID]],MH_SCHED[],5,FALSE),DATA[[#This Row],[From_CL]]-DATA[[#This Row],[From_IL]])</f>
        <v>1.3999999999999986</v>
      </c>
      <c r="F17" s="81"/>
      <c r="G17" s="82"/>
      <c r="H17" s="122" t="s">
        <v>106</v>
      </c>
      <c r="I17" s="3" t="s">
        <v>10</v>
      </c>
      <c r="J17" s="83">
        <f>IF(DATA[[#This Row],[To_Type]]="Manhole",VLOOKUP(DATA[[#This Row],[To_ID]],MH_SCHED[],5,FALSE),DATA[[#This Row],[To_CL]]-DATA[[#This Row],[To_IL]])</f>
        <v>0.3</v>
      </c>
      <c r="K17" s="84">
        <v>0.3</v>
      </c>
      <c r="L17" s="82"/>
      <c r="M17" s="64">
        <v>100</v>
      </c>
      <c r="N17" s="85">
        <v>1.8</v>
      </c>
      <c r="O17" s="86"/>
      <c r="P17" s="65">
        <v>100</v>
      </c>
      <c r="Q17" s="92" t="b">
        <f>IF(COUNTIF(DATA[[#This Row],[From_ID]:[Dia]],"*total*")&gt;0,TRUE,FALSE)</f>
        <v>0</v>
      </c>
    </row>
    <row r="18" spans="1:17" x14ac:dyDescent="0.25">
      <c r="A18" s="91" t="str">
        <f t="shared" si="0"/>
        <v>Plastic</v>
      </c>
      <c r="B18" s="76" t="s">
        <v>104</v>
      </c>
      <c r="C18" s="3"/>
      <c r="D18" s="1" t="s">
        <v>30</v>
      </c>
      <c r="E18" s="83">
        <f>IF(DATA[[#This Row],[From_Type]]="Manhole",VLOOKUP(DATA[[#This Row],[From_ID]],MH_SCHED[],5,FALSE),DATA[[#This Row],[From_CL]]-DATA[[#This Row],[From_IL]])</f>
        <v>1.3999999999999986</v>
      </c>
      <c r="F18" s="81"/>
      <c r="G18" s="82"/>
      <c r="H18" s="122" t="s">
        <v>107</v>
      </c>
      <c r="I18" s="3" t="s">
        <v>10</v>
      </c>
      <c r="J18" s="83">
        <f>IF(DATA[[#This Row],[To_Type]]="Manhole",VLOOKUP(DATA[[#This Row],[To_ID]],MH_SCHED[],5,FALSE),DATA[[#This Row],[To_CL]]-DATA[[#This Row],[To_IL]])</f>
        <v>0.3</v>
      </c>
      <c r="K18" s="84">
        <v>0.3</v>
      </c>
      <c r="L18" s="82"/>
      <c r="M18" s="64">
        <v>100</v>
      </c>
      <c r="N18" s="85">
        <v>9.4499999999999993</v>
      </c>
      <c r="O18" s="86"/>
      <c r="P18" s="65">
        <v>100</v>
      </c>
      <c r="Q18" s="92" t="b">
        <f>IF(COUNTIF(DATA[[#This Row],[From_ID]:[Dia]],"*total*")&gt;0,TRUE,FALSE)</f>
        <v>0</v>
      </c>
    </row>
    <row r="19" spans="1:17" x14ac:dyDescent="0.25">
      <c r="A19" s="91" t="str">
        <f t="shared" si="0"/>
        <v>Plastic</v>
      </c>
      <c r="B19" s="76" t="s">
        <v>108</v>
      </c>
      <c r="C19" s="3"/>
      <c r="D19" s="1" t="s">
        <v>30</v>
      </c>
      <c r="E19" s="83">
        <f>IF(DATA[[#This Row],[From_Type]]="Manhole",VLOOKUP(DATA[[#This Row],[From_ID]],MH_SCHED[],5,FALSE),DATA[[#This Row],[From_CL]]-DATA[[#This Row],[From_IL]])</f>
        <v>0.75</v>
      </c>
      <c r="F19" s="81"/>
      <c r="G19" s="82"/>
      <c r="H19" s="122" t="s">
        <v>109</v>
      </c>
      <c r="I19" s="3" t="s">
        <v>30</v>
      </c>
      <c r="J19" s="83">
        <f>IF(DATA[[#This Row],[To_Type]]="Manhole",VLOOKUP(DATA[[#This Row],[To_ID]],MH_SCHED[],5,FALSE),DATA[[#This Row],[To_CL]]-DATA[[#This Row],[To_IL]])</f>
        <v>0.85000000000000142</v>
      </c>
      <c r="K19" s="84"/>
      <c r="L19" s="82"/>
      <c r="M19" s="64">
        <v>100</v>
      </c>
      <c r="N19" s="85">
        <v>10.3</v>
      </c>
      <c r="O19" s="86"/>
      <c r="P19" s="65">
        <v>100</v>
      </c>
      <c r="Q19" s="92" t="b">
        <f>IF(COUNTIF(DATA[[#This Row],[From_ID]:[Dia]],"*total*")&gt;0,TRUE,FALSE)</f>
        <v>0</v>
      </c>
    </row>
    <row r="20" spans="1:17" x14ac:dyDescent="0.25">
      <c r="A20" s="91" t="str">
        <f t="shared" si="0"/>
        <v>Plastic</v>
      </c>
      <c r="B20" s="76" t="s">
        <v>109</v>
      </c>
      <c r="C20" s="3"/>
      <c r="D20" s="1" t="s">
        <v>30</v>
      </c>
      <c r="E20" s="83">
        <f>IF(DATA[[#This Row],[From_Type]]="Manhole",VLOOKUP(DATA[[#This Row],[From_ID]],MH_SCHED[],5,FALSE),DATA[[#This Row],[From_CL]]-DATA[[#This Row],[From_IL]])</f>
        <v>0.85000000000000142</v>
      </c>
      <c r="F20" s="81"/>
      <c r="G20" s="82"/>
      <c r="H20" s="122" t="s">
        <v>110</v>
      </c>
      <c r="I20" s="3" t="s">
        <v>30</v>
      </c>
      <c r="J20" s="83">
        <f>IF(DATA[[#This Row],[To_Type]]="Manhole",VLOOKUP(DATA[[#This Row],[To_ID]],MH_SCHED[],5,FALSE),DATA[[#This Row],[To_CL]]-DATA[[#This Row],[To_IL]])</f>
        <v>1.3599999999999994</v>
      </c>
      <c r="K20" s="84"/>
      <c r="L20" s="82"/>
      <c r="M20" s="64">
        <v>100</v>
      </c>
      <c r="N20" s="85">
        <v>7.3</v>
      </c>
      <c r="O20" s="86"/>
      <c r="P20" s="65">
        <v>100</v>
      </c>
      <c r="Q20" s="92" t="b">
        <f>IF(COUNTIF(DATA[[#This Row],[From_ID]:[Dia]],"*total*")&gt;0,TRUE,FALSE)</f>
        <v>0</v>
      </c>
    </row>
    <row r="21" spans="1:17" x14ac:dyDescent="0.25">
      <c r="A21" s="91" t="str">
        <f t="shared" si="0"/>
        <v>Plastic</v>
      </c>
      <c r="B21" s="76" t="s">
        <v>110</v>
      </c>
      <c r="C21" s="3"/>
      <c r="D21" s="1" t="s">
        <v>30</v>
      </c>
      <c r="E21" s="83">
        <f>IF(DATA[[#This Row],[From_Type]]="Manhole",VLOOKUP(DATA[[#This Row],[From_ID]],MH_SCHED[],5,FALSE),DATA[[#This Row],[From_CL]]-DATA[[#This Row],[From_IL]])</f>
        <v>1.3599999999999994</v>
      </c>
      <c r="F21" s="81"/>
      <c r="G21" s="82"/>
      <c r="H21" s="122" t="s">
        <v>111</v>
      </c>
      <c r="I21" s="3" t="s">
        <v>10</v>
      </c>
      <c r="J21" s="83">
        <f>IF(DATA[[#This Row],[To_Type]]="Manhole",VLOOKUP(DATA[[#This Row],[To_ID]],MH_SCHED[],5,FALSE),DATA[[#This Row],[To_CL]]-DATA[[#This Row],[To_IL]])</f>
        <v>0.3</v>
      </c>
      <c r="K21" s="84">
        <v>0.3</v>
      </c>
      <c r="L21" s="82"/>
      <c r="M21" s="64">
        <v>100</v>
      </c>
      <c r="N21" s="85">
        <v>6.9</v>
      </c>
      <c r="O21" s="86"/>
      <c r="P21" s="65">
        <v>100</v>
      </c>
      <c r="Q21" s="92" t="b">
        <f>IF(COUNTIF(DATA[[#This Row],[From_ID]:[Dia]],"*total*")&gt;0,TRUE,FALSE)</f>
        <v>0</v>
      </c>
    </row>
    <row r="22" spans="1:17" x14ac:dyDescent="0.25">
      <c r="A22" s="91" t="str">
        <f t="shared" si="0"/>
        <v>Plastic</v>
      </c>
      <c r="B22" s="76" t="s">
        <v>110</v>
      </c>
      <c r="C22" s="3" t="s">
        <v>111</v>
      </c>
      <c r="D22" s="1" t="s">
        <v>18</v>
      </c>
      <c r="E22" s="83">
        <f>IF(DATA[[#This Row],[From_Type]]="Manhole",VLOOKUP(DATA[[#This Row],[From_ID]],MH_SCHED[],5,FALSE),DATA[[#This Row],[From_CL]]-DATA[[#This Row],[From_IL]])</f>
        <v>0</v>
      </c>
      <c r="F22" s="81"/>
      <c r="G22" s="82"/>
      <c r="H22" s="122" t="s">
        <v>14</v>
      </c>
      <c r="I22" s="3" t="s">
        <v>14</v>
      </c>
      <c r="J22" s="83">
        <f>IF(DATA[[#This Row],[To_Type]]="Manhole",VLOOKUP(DATA[[#This Row],[To_ID]],MH_SCHED[],5,FALSE),DATA[[#This Row],[To_CL]]-DATA[[#This Row],[To_IL]])</f>
        <v>0.3</v>
      </c>
      <c r="K22" s="84">
        <v>0.3</v>
      </c>
      <c r="L22" s="82"/>
      <c r="M22" s="64">
        <v>100</v>
      </c>
      <c r="N22" s="85">
        <v>3</v>
      </c>
      <c r="O22" s="86"/>
      <c r="P22" s="65">
        <v>100</v>
      </c>
      <c r="Q22" s="92" t="b">
        <f>IF(COUNTIF(DATA[[#This Row],[From_ID]:[Dia]],"*total*")&gt;0,TRUE,FALSE)</f>
        <v>0</v>
      </c>
    </row>
    <row r="23" spans="1:17" x14ac:dyDescent="0.25">
      <c r="A23" s="91" t="str">
        <f t="shared" si="0"/>
        <v>Plastic</v>
      </c>
      <c r="B23" s="76" t="s">
        <v>110</v>
      </c>
      <c r="C23" s="3"/>
      <c r="D23" s="1" t="s">
        <v>30</v>
      </c>
      <c r="E23" s="83">
        <f>IF(DATA[[#This Row],[From_Type]]="Manhole",VLOOKUP(DATA[[#This Row],[From_ID]],MH_SCHED[],5,FALSE),DATA[[#This Row],[From_CL]]-DATA[[#This Row],[From_IL]])</f>
        <v>1.3599999999999994</v>
      </c>
      <c r="F23" s="81"/>
      <c r="G23" s="82"/>
      <c r="H23" s="122" t="s">
        <v>112</v>
      </c>
      <c r="I23" s="3" t="s">
        <v>10</v>
      </c>
      <c r="J23" s="83">
        <f>IF(DATA[[#This Row],[To_Type]]="Manhole",VLOOKUP(DATA[[#This Row],[To_ID]],MH_SCHED[],5,FALSE),DATA[[#This Row],[To_CL]]-DATA[[#This Row],[To_IL]])</f>
        <v>0.3</v>
      </c>
      <c r="K23" s="84">
        <v>0.3</v>
      </c>
      <c r="L23" s="82"/>
      <c r="M23" s="64">
        <v>100</v>
      </c>
      <c r="N23" s="85">
        <v>4.25</v>
      </c>
      <c r="O23" s="86"/>
      <c r="P23" s="65">
        <v>100</v>
      </c>
      <c r="Q23" s="92" t="b">
        <f>IF(COUNTIF(DATA[[#This Row],[From_ID]:[Dia]],"*total*")&gt;0,TRUE,FALSE)</f>
        <v>0</v>
      </c>
    </row>
    <row r="24" spans="1:17" x14ac:dyDescent="0.25">
      <c r="A24" s="91" t="str">
        <f t="shared" si="0"/>
        <v>Plastic</v>
      </c>
      <c r="B24" s="76" t="s">
        <v>110</v>
      </c>
      <c r="C24" s="3"/>
      <c r="D24" s="1" t="s">
        <v>30</v>
      </c>
      <c r="E24" s="83">
        <f>IF(DATA[[#This Row],[From_Type]]="Manhole",VLOOKUP(DATA[[#This Row],[From_ID]],MH_SCHED[],5,FALSE),DATA[[#This Row],[From_CL]]-DATA[[#This Row],[From_IL]])</f>
        <v>1.3599999999999994</v>
      </c>
      <c r="F24" s="81"/>
      <c r="G24" s="82"/>
      <c r="H24" s="122" t="s">
        <v>113</v>
      </c>
      <c r="I24" s="3" t="s">
        <v>10</v>
      </c>
      <c r="J24" s="83">
        <f>IF(DATA[[#This Row],[To_Type]]="Manhole",VLOOKUP(DATA[[#This Row],[To_ID]],MH_SCHED[],5,FALSE),DATA[[#This Row],[To_CL]]-DATA[[#This Row],[To_IL]])</f>
        <v>0.3</v>
      </c>
      <c r="K24" s="84">
        <v>0.3</v>
      </c>
      <c r="L24" s="82"/>
      <c r="M24" s="64">
        <v>100</v>
      </c>
      <c r="N24" s="85">
        <v>1</v>
      </c>
      <c r="O24" s="86"/>
      <c r="P24" s="65">
        <v>100</v>
      </c>
      <c r="Q24" s="92" t="b">
        <f>IF(COUNTIF(DATA[[#This Row],[From_ID]:[Dia]],"*total*")&gt;0,TRUE,FALSE)</f>
        <v>0</v>
      </c>
    </row>
    <row r="25" spans="1:17" x14ac:dyDescent="0.25">
      <c r="A25" s="91" t="str">
        <f t="shared" si="0"/>
        <v>Plastic</v>
      </c>
      <c r="B25" s="76" t="s">
        <v>110</v>
      </c>
      <c r="C25" s="3"/>
      <c r="D25" s="1" t="s">
        <v>30</v>
      </c>
      <c r="E25" s="83">
        <f>IF(DATA[[#This Row],[From_Type]]="Manhole",VLOOKUP(DATA[[#This Row],[From_ID]],MH_SCHED[],5,FALSE),DATA[[#This Row],[From_CL]]-DATA[[#This Row],[From_IL]])</f>
        <v>1.3599999999999994</v>
      </c>
      <c r="F25" s="81"/>
      <c r="G25" s="82"/>
      <c r="H25" s="122" t="s">
        <v>114</v>
      </c>
      <c r="I25" s="3" t="s">
        <v>10</v>
      </c>
      <c r="J25" s="83">
        <f>IF(DATA[[#This Row],[To_Type]]="Manhole",VLOOKUP(DATA[[#This Row],[To_ID]],MH_SCHED[],5,FALSE),DATA[[#This Row],[To_CL]]-DATA[[#This Row],[To_IL]])</f>
        <v>0.3</v>
      </c>
      <c r="K25" s="84">
        <v>0.3</v>
      </c>
      <c r="L25" s="82"/>
      <c r="M25" s="64">
        <v>100</v>
      </c>
      <c r="N25" s="85">
        <v>11.35</v>
      </c>
      <c r="O25" s="86"/>
      <c r="P25" s="65">
        <v>100</v>
      </c>
      <c r="Q25" s="92" t="b">
        <f>IF(COUNTIF(DATA[[#This Row],[From_ID]:[Dia]],"*total*")&gt;0,TRUE,FALSE)</f>
        <v>0</v>
      </c>
    </row>
    <row r="26" spans="1:17" x14ac:dyDescent="0.25">
      <c r="A26" s="91" t="str">
        <f t="shared" si="0"/>
        <v>Plastic</v>
      </c>
      <c r="B26" s="76" t="s">
        <v>110</v>
      </c>
      <c r="C26" s="3" t="s">
        <v>114</v>
      </c>
      <c r="D26" s="1" t="s">
        <v>18</v>
      </c>
      <c r="E26" s="83">
        <f>IF(DATA[[#This Row],[From_Type]]="Manhole",VLOOKUP(DATA[[#This Row],[From_ID]],MH_SCHED[],5,FALSE),DATA[[#This Row],[From_CL]]-DATA[[#This Row],[From_IL]])</f>
        <v>0</v>
      </c>
      <c r="F26" s="81"/>
      <c r="G26" s="82"/>
      <c r="H26" s="122" t="s">
        <v>14</v>
      </c>
      <c r="I26" s="3" t="s">
        <v>14</v>
      </c>
      <c r="J26" s="83">
        <f>IF(DATA[[#This Row],[To_Type]]="Manhole",VLOOKUP(DATA[[#This Row],[To_ID]],MH_SCHED[],5,FALSE),DATA[[#This Row],[To_CL]]-DATA[[#This Row],[To_IL]])</f>
        <v>0.3</v>
      </c>
      <c r="K26" s="84">
        <v>0.3</v>
      </c>
      <c r="L26" s="82"/>
      <c r="M26" s="64">
        <v>100</v>
      </c>
      <c r="N26" s="85">
        <v>1</v>
      </c>
      <c r="O26" s="86"/>
      <c r="P26" s="65">
        <v>100</v>
      </c>
      <c r="Q26" s="92" t="b">
        <f>IF(COUNTIF(DATA[[#This Row],[From_ID]:[Dia]],"*total*")&gt;0,TRUE,FALSE)</f>
        <v>0</v>
      </c>
    </row>
    <row r="27" spans="1:17" x14ac:dyDescent="0.25">
      <c r="A27" s="91" t="str">
        <f t="shared" si="0"/>
        <v>Plastic</v>
      </c>
      <c r="B27" s="76" t="s">
        <v>108</v>
      </c>
      <c r="C27" s="3"/>
      <c r="D27" s="1" t="s">
        <v>30</v>
      </c>
      <c r="E27" s="83">
        <f>IF(DATA[[#This Row],[From_Type]]="Manhole",VLOOKUP(DATA[[#This Row],[From_ID]],MH_SCHED[],5,FALSE),DATA[[#This Row],[From_CL]]-DATA[[#This Row],[From_IL]])</f>
        <v>0.75</v>
      </c>
      <c r="F27" s="81"/>
      <c r="G27" s="82"/>
      <c r="H27" s="122" t="s">
        <v>116</v>
      </c>
      <c r="I27" s="3" t="s">
        <v>30</v>
      </c>
      <c r="J27" s="83">
        <f>IF(DATA[[#This Row],[To_Type]]="Manhole",VLOOKUP(DATA[[#This Row],[To_ID]],MH_SCHED[],5,FALSE),DATA[[#This Row],[To_CL]]-DATA[[#This Row],[To_IL]])</f>
        <v>1.25</v>
      </c>
      <c r="K27" s="84"/>
      <c r="L27" s="82"/>
      <c r="M27" s="64">
        <v>100</v>
      </c>
      <c r="N27" s="85">
        <v>8.8000000000000007</v>
      </c>
      <c r="O27" s="86"/>
      <c r="P27" s="65">
        <v>100</v>
      </c>
      <c r="Q27" s="92" t="b">
        <f>IF(COUNTIF(DATA[[#This Row],[From_ID]:[Dia]],"*total*")&gt;0,TRUE,FALSE)</f>
        <v>0</v>
      </c>
    </row>
    <row r="28" spans="1:17" x14ac:dyDescent="0.25">
      <c r="A28" s="91" t="str">
        <f t="shared" si="0"/>
        <v>Plastic</v>
      </c>
      <c r="B28" s="76" t="s">
        <v>116</v>
      </c>
      <c r="C28" s="3"/>
      <c r="D28" s="1" t="s">
        <v>30</v>
      </c>
      <c r="E28" s="83">
        <f>IF(DATA[[#This Row],[From_Type]]="Manhole",VLOOKUP(DATA[[#This Row],[From_ID]],MH_SCHED[],5,FALSE),DATA[[#This Row],[From_CL]]-DATA[[#This Row],[From_IL]])</f>
        <v>1.25</v>
      </c>
      <c r="F28" s="81"/>
      <c r="G28" s="82"/>
      <c r="H28" s="122" t="s">
        <v>117</v>
      </c>
      <c r="I28" s="3" t="s">
        <v>30</v>
      </c>
      <c r="J28" s="83">
        <f>IF(DATA[[#This Row],[To_Type]]="Manhole",VLOOKUP(DATA[[#This Row],[To_ID]],MH_SCHED[],5,FALSE),DATA[[#This Row],[To_CL]]-DATA[[#This Row],[To_IL]])</f>
        <v>0.875</v>
      </c>
      <c r="K28" s="84"/>
      <c r="L28" s="82"/>
      <c r="M28" s="64">
        <v>100</v>
      </c>
      <c r="N28" s="85">
        <v>4.2</v>
      </c>
      <c r="O28" s="86"/>
      <c r="P28" s="65">
        <v>100</v>
      </c>
      <c r="Q28" s="92" t="b">
        <f>IF(COUNTIF(DATA[[#This Row],[From_ID]:[Dia]],"*total*")&gt;0,TRUE,FALSE)</f>
        <v>0</v>
      </c>
    </row>
    <row r="29" spans="1:17" x14ac:dyDescent="0.25">
      <c r="A29" s="91" t="str">
        <f t="shared" si="0"/>
        <v>Plastic</v>
      </c>
      <c r="B29" s="76" t="s">
        <v>117</v>
      </c>
      <c r="C29" s="3"/>
      <c r="D29" s="1" t="s">
        <v>30</v>
      </c>
      <c r="E29" s="83">
        <f>IF(DATA[[#This Row],[From_Type]]="Manhole",VLOOKUP(DATA[[#This Row],[From_ID]],MH_SCHED[],5,FALSE),DATA[[#This Row],[From_CL]]-DATA[[#This Row],[From_IL]])</f>
        <v>0.875</v>
      </c>
      <c r="F29" s="81"/>
      <c r="G29" s="82"/>
      <c r="H29" s="122" t="s">
        <v>118</v>
      </c>
      <c r="I29" s="3" t="s">
        <v>10</v>
      </c>
      <c r="J29" s="83">
        <f>IF(DATA[[#This Row],[To_Type]]="Manhole",VLOOKUP(DATA[[#This Row],[To_ID]],MH_SCHED[],5,FALSE),DATA[[#This Row],[To_CL]]-DATA[[#This Row],[To_IL]])</f>
        <v>0.3</v>
      </c>
      <c r="K29" s="84">
        <v>0.3</v>
      </c>
      <c r="L29" s="82"/>
      <c r="M29" s="64">
        <v>100</v>
      </c>
      <c r="N29" s="85">
        <v>5.35</v>
      </c>
      <c r="O29" s="86"/>
      <c r="P29" s="65">
        <v>100</v>
      </c>
      <c r="Q29" s="92" t="b">
        <f>IF(COUNTIF(DATA[[#This Row],[From_ID]:[Dia]],"*total*")&gt;0,TRUE,FALSE)</f>
        <v>0</v>
      </c>
    </row>
    <row r="30" spans="1:17" x14ac:dyDescent="0.25">
      <c r="A30" s="91" t="str">
        <f t="shared" si="0"/>
        <v>Plastic</v>
      </c>
      <c r="B30" s="76" t="s">
        <v>117</v>
      </c>
      <c r="C30" s="3" t="s">
        <v>118</v>
      </c>
      <c r="D30" s="1" t="s">
        <v>18</v>
      </c>
      <c r="E30" s="83">
        <f>IF(DATA[[#This Row],[From_Type]]="Manhole",VLOOKUP(DATA[[#This Row],[From_ID]],MH_SCHED[],5,FALSE),DATA[[#This Row],[From_CL]]-DATA[[#This Row],[From_IL]])</f>
        <v>0</v>
      </c>
      <c r="F30" s="81"/>
      <c r="G30" s="82"/>
      <c r="H30" s="122" t="s">
        <v>14</v>
      </c>
      <c r="I30" s="3" t="s">
        <v>14</v>
      </c>
      <c r="J30" s="83">
        <f>IF(DATA[[#This Row],[To_Type]]="Manhole",VLOOKUP(DATA[[#This Row],[To_ID]],MH_SCHED[],5,FALSE),DATA[[#This Row],[To_CL]]-DATA[[#This Row],[To_IL]])</f>
        <v>0.3</v>
      </c>
      <c r="K30" s="84">
        <v>0.3</v>
      </c>
      <c r="L30" s="82"/>
      <c r="M30" s="64">
        <v>100</v>
      </c>
      <c r="N30" s="85">
        <v>1</v>
      </c>
      <c r="O30" s="86"/>
      <c r="P30" s="65">
        <v>100</v>
      </c>
      <c r="Q30" s="92" t="b">
        <f>IF(COUNTIF(DATA[[#This Row],[From_ID]:[Dia]],"*total*")&gt;0,TRUE,FALSE)</f>
        <v>0</v>
      </c>
    </row>
    <row r="31" spans="1:17" x14ac:dyDescent="0.25">
      <c r="A31" s="91" t="str">
        <f t="shared" si="0"/>
        <v>Plastic</v>
      </c>
      <c r="B31" s="76" t="s">
        <v>117</v>
      </c>
      <c r="C31" s="3"/>
      <c r="D31" s="1" t="s">
        <v>30</v>
      </c>
      <c r="E31" s="83">
        <f>IF(DATA[[#This Row],[From_Type]]="Manhole",VLOOKUP(DATA[[#This Row],[From_ID]],MH_SCHED[],5,FALSE),DATA[[#This Row],[From_CL]]-DATA[[#This Row],[From_IL]])</f>
        <v>0.875</v>
      </c>
      <c r="F31" s="81"/>
      <c r="G31" s="82"/>
      <c r="H31" s="122" t="s">
        <v>119</v>
      </c>
      <c r="I31" s="3" t="s">
        <v>10</v>
      </c>
      <c r="J31" s="83">
        <f>IF(DATA[[#This Row],[To_Type]]="Manhole",VLOOKUP(DATA[[#This Row],[To_ID]],MH_SCHED[],5,FALSE),DATA[[#This Row],[To_CL]]-DATA[[#This Row],[To_IL]])</f>
        <v>0.3</v>
      </c>
      <c r="K31" s="84">
        <v>0.3</v>
      </c>
      <c r="L31" s="82"/>
      <c r="M31" s="64">
        <v>100</v>
      </c>
      <c r="N31" s="85">
        <v>3.35</v>
      </c>
      <c r="O31" s="86"/>
      <c r="P31" s="65">
        <v>100</v>
      </c>
      <c r="Q31" s="92" t="b">
        <f>IF(COUNTIF(DATA[[#This Row],[From_ID]:[Dia]],"*total*")&gt;0,TRUE,FALSE)</f>
        <v>0</v>
      </c>
    </row>
    <row r="32" spans="1:17" x14ac:dyDescent="0.25">
      <c r="A32" s="91" t="str">
        <f t="shared" si="0"/>
        <v>Plastic</v>
      </c>
      <c r="B32" s="76" t="s">
        <v>117</v>
      </c>
      <c r="C32" s="3"/>
      <c r="D32" s="1" t="s">
        <v>30</v>
      </c>
      <c r="E32" s="83">
        <f>IF(DATA[[#This Row],[From_Type]]="Manhole",VLOOKUP(DATA[[#This Row],[From_ID]],MH_SCHED[],5,FALSE),DATA[[#This Row],[From_CL]]-DATA[[#This Row],[From_IL]])</f>
        <v>0.875</v>
      </c>
      <c r="F32" s="81"/>
      <c r="G32" s="82"/>
      <c r="H32" s="122" t="s">
        <v>120</v>
      </c>
      <c r="I32" s="3" t="s">
        <v>10</v>
      </c>
      <c r="J32" s="83">
        <f>IF(DATA[[#This Row],[To_Type]]="Manhole",VLOOKUP(DATA[[#This Row],[To_ID]],MH_SCHED[],5,FALSE),DATA[[#This Row],[To_CL]]-DATA[[#This Row],[To_IL]])</f>
        <v>0.3</v>
      </c>
      <c r="K32" s="84">
        <v>0.3</v>
      </c>
      <c r="L32" s="82"/>
      <c r="M32" s="64">
        <v>100</v>
      </c>
      <c r="N32" s="85">
        <v>11.2</v>
      </c>
      <c r="O32" s="86"/>
      <c r="P32" s="65">
        <v>100</v>
      </c>
      <c r="Q32" s="92" t="b">
        <f>IF(COUNTIF(DATA[[#This Row],[From_ID]:[Dia]],"*total*")&gt;0,TRUE,FALSE)</f>
        <v>0</v>
      </c>
    </row>
    <row r="33" spans="1:17" x14ac:dyDescent="0.25">
      <c r="A33" s="91" t="str">
        <f t="shared" si="0"/>
        <v>Plastic</v>
      </c>
      <c r="B33" s="76" t="s">
        <v>116</v>
      </c>
      <c r="C33" s="3"/>
      <c r="D33" s="1" t="s">
        <v>30</v>
      </c>
      <c r="E33" s="83">
        <f>IF(DATA[[#This Row],[From_Type]]="Manhole",VLOOKUP(DATA[[#This Row],[From_ID]],MH_SCHED[],5,FALSE),DATA[[#This Row],[From_CL]]-DATA[[#This Row],[From_IL]])</f>
        <v>1.25</v>
      </c>
      <c r="F33" s="81"/>
      <c r="G33" s="82"/>
      <c r="H33" s="122" t="s">
        <v>14</v>
      </c>
      <c r="I33" s="3" t="s">
        <v>14</v>
      </c>
      <c r="J33" s="83">
        <f>IF(DATA[[#This Row],[To_Type]]="Manhole",VLOOKUP(DATA[[#This Row],[To_ID]],MH_SCHED[],5,FALSE),DATA[[#This Row],[To_CL]]-DATA[[#This Row],[To_IL]])</f>
        <v>0.3</v>
      </c>
      <c r="K33" s="84">
        <v>0.3</v>
      </c>
      <c r="L33" s="82"/>
      <c r="M33" s="64">
        <v>100</v>
      </c>
      <c r="N33" s="85">
        <v>4.3</v>
      </c>
      <c r="O33" s="86"/>
      <c r="P33" s="65">
        <v>100</v>
      </c>
      <c r="Q33" s="92" t="b">
        <f>IF(COUNTIF(DATA[[#This Row],[From_ID]:[Dia]],"*total*")&gt;0,TRUE,FALSE)</f>
        <v>0</v>
      </c>
    </row>
    <row r="34" spans="1:17" x14ac:dyDescent="0.25">
      <c r="A34" s="91" t="str">
        <f t="shared" si="0"/>
        <v>Plastic</v>
      </c>
      <c r="B34" s="76" t="s">
        <v>108</v>
      </c>
      <c r="C34" s="3"/>
      <c r="D34" s="1" t="s">
        <v>30</v>
      </c>
      <c r="E34" s="83">
        <f>IF(DATA[[#This Row],[From_Type]]="Manhole",VLOOKUP(DATA[[#This Row],[From_ID]],MH_SCHED[],5,FALSE),DATA[[#This Row],[From_CL]]-DATA[[#This Row],[From_IL]])</f>
        <v>0.75</v>
      </c>
      <c r="F34" s="81"/>
      <c r="G34" s="82"/>
      <c r="H34" s="122" t="s">
        <v>122</v>
      </c>
      <c r="I34" s="3" t="s">
        <v>30</v>
      </c>
      <c r="J34" s="83">
        <f>IF(DATA[[#This Row],[To_Type]]="Manhole",VLOOKUP(DATA[[#This Row],[To_ID]],MH_SCHED[],5,FALSE),DATA[[#This Row],[To_CL]]-DATA[[#This Row],[To_IL]])</f>
        <v>1.7000000000000028</v>
      </c>
      <c r="K34" s="84"/>
      <c r="L34" s="82"/>
      <c r="M34" s="64">
        <v>100</v>
      </c>
      <c r="N34" s="85">
        <v>18.25</v>
      </c>
      <c r="O34" s="86"/>
      <c r="P34" s="65">
        <v>100</v>
      </c>
      <c r="Q34" s="92" t="b">
        <f>IF(COUNTIF(DATA[[#This Row],[From_ID]:[Dia]],"*total*")&gt;0,TRUE,FALSE)</f>
        <v>0</v>
      </c>
    </row>
    <row r="35" spans="1:17" x14ac:dyDescent="0.25">
      <c r="A35" s="91" t="str">
        <f t="shared" si="0"/>
        <v>Plastic</v>
      </c>
      <c r="B35" s="76" t="s">
        <v>109</v>
      </c>
      <c r="C35" s="3"/>
      <c r="D35" s="1" t="s">
        <v>30</v>
      </c>
      <c r="E35" s="83">
        <f>IF(DATA[[#This Row],[From_Type]]="Manhole",VLOOKUP(DATA[[#This Row],[From_ID]],MH_SCHED[],5,FALSE),DATA[[#This Row],[From_CL]]-DATA[[#This Row],[From_IL]])</f>
        <v>0.85000000000000142</v>
      </c>
      <c r="F35" s="81"/>
      <c r="G35" s="82"/>
      <c r="H35" s="122" t="s">
        <v>14</v>
      </c>
      <c r="I35" s="3" t="s">
        <v>14</v>
      </c>
      <c r="J35" s="83">
        <f>IF(DATA[[#This Row],[To_Type]]="Manhole",VLOOKUP(DATA[[#This Row],[To_ID]],MH_SCHED[],5,FALSE),DATA[[#This Row],[To_CL]]-DATA[[#This Row],[To_IL]])</f>
        <v>0.3</v>
      </c>
      <c r="K35" s="84">
        <v>0.3</v>
      </c>
      <c r="L35" s="82"/>
      <c r="M35" s="64">
        <v>100</v>
      </c>
      <c r="N35" s="85">
        <v>2.95</v>
      </c>
      <c r="O35" s="86"/>
      <c r="P35" s="65">
        <v>100</v>
      </c>
      <c r="Q35" s="92" t="b">
        <f>IF(COUNTIF(DATA[[#This Row],[From_ID]:[Dia]],"*total*")&gt;0,TRUE,FALSE)</f>
        <v>0</v>
      </c>
    </row>
    <row r="36" spans="1:17" x14ac:dyDescent="0.25">
      <c r="A36" s="91" t="str">
        <f t="shared" si="0"/>
        <v>Plastic</v>
      </c>
      <c r="B36" s="76" t="s">
        <v>122</v>
      </c>
      <c r="C36" s="3"/>
      <c r="D36" s="1" t="s">
        <v>30</v>
      </c>
      <c r="E36" s="83">
        <f>IF(DATA[[#This Row],[From_Type]]="Manhole",VLOOKUP(DATA[[#This Row],[From_ID]],MH_SCHED[],5,FALSE),DATA[[#This Row],[From_CL]]-DATA[[#This Row],[From_IL]])</f>
        <v>1.7000000000000028</v>
      </c>
      <c r="F36" s="81"/>
      <c r="G36" s="82"/>
      <c r="H36" s="122" t="s">
        <v>124</v>
      </c>
      <c r="I36" s="3" t="s">
        <v>30</v>
      </c>
      <c r="J36" s="83">
        <f>IF(DATA[[#This Row],[To_Type]]="Manhole",VLOOKUP(DATA[[#This Row],[To_ID]],MH_SCHED[],5,FALSE),DATA[[#This Row],[To_CL]]-DATA[[#This Row],[To_IL]])</f>
        <v>0.78500000000000369</v>
      </c>
      <c r="K36" s="84"/>
      <c r="L36" s="82"/>
      <c r="M36" s="64">
        <v>100</v>
      </c>
      <c r="N36" s="85">
        <v>2.8</v>
      </c>
      <c r="O36" s="86"/>
      <c r="P36" s="65">
        <v>100</v>
      </c>
      <c r="Q36" s="92" t="b">
        <f>IF(COUNTIF(DATA[[#This Row],[From_ID]:[Dia]],"*total*")&gt;0,TRUE,FALSE)</f>
        <v>0</v>
      </c>
    </row>
    <row r="37" spans="1:17" x14ac:dyDescent="0.25">
      <c r="A37" s="91" t="str">
        <f t="shared" si="0"/>
        <v>Plastic</v>
      </c>
      <c r="B37" s="76" t="s">
        <v>122</v>
      </c>
      <c r="C37" s="3"/>
      <c r="D37" s="1" t="s">
        <v>30</v>
      </c>
      <c r="E37" s="83">
        <f>IF(DATA[[#This Row],[From_Type]]="Manhole",VLOOKUP(DATA[[#This Row],[From_ID]],MH_SCHED[],5,FALSE),DATA[[#This Row],[From_CL]]-DATA[[#This Row],[From_IL]])</f>
        <v>1.7000000000000028</v>
      </c>
      <c r="F37" s="81"/>
      <c r="G37" s="82"/>
      <c r="H37" s="122" t="s">
        <v>14</v>
      </c>
      <c r="I37" s="3" t="s">
        <v>14</v>
      </c>
      <c r="J37" s="83">
        <f>IF(DATA[[#This Row],[To_Type]]="Manhole",VLOOKUP(DATA[[#This Row],[To_ID]],MH_SCHED[],5,FALSE),DATA[[#This Row],[To_CL]]-DATA[[#This Row],[To_IL]])</f>
        <v>0.3</v>
      </c>
      <c r="K37" s="84">
        <v>0.3</v>
      </c>
      <c r="L37" s="82"/>
      <c r="M37" s="64">
        <v>100</v>
      </c>
      <c r="N37" s="85">
        <v>3.65</v>
      </c>
      <c r="O37" s="86"/>
      <c r="P37" s="65">
        <v>100</v>
      </c>
      <c r="Q37" s="92" t="b">
        <f>IF(COUNTIF(DATA[[#This Row],[From_ID]:[Dia]],"*total*")&gt;0,TRUE,FALSE)</f>
        <v>0</v>
      </c>
    </row>
    <row r="38" spans="1:17" x14ac:dyDescent="0.25">
      <c r="A38" s="91" t="str">
        <f t="shared" si="0"/>
        <v>Plastic</v>
      </c>
      <c r="B38" s="76" t="s">
        <v>122</v>
      </c>
      <c r="C38" s="3"/>
      <c r="D38" s="1" t="s">
        <v>30</v>
      </c>
      <c r="E38" s="83">
        <f>IF(DATA[[#This Row],[From_Type]]="Manhole",VLOOKUP(DATA[[#This Row],[From_ID]],MH_SCHED[],5,FALSE),DATA[[#This Row],[From_CL]]-DATA[[#This Row],[From_IL]])</f>
        <v>1.7000000000000028</v>
      </c>
      <c r="F38" s="81"/>
      <c r="G38" s="82"/>
      <c r="H38" s="122" t="s">
        <v>14</v>
      </c>
      <c r="I38" s="3" t="s">
        <v>14</v>
      </c>
      <c r="J38" s="83">
        <f>IF(DATA[[#This Row],[To_Type]]="Manhole",VLOOKUP(DATA[[#This Row],[To_ID]],MH_SCHED[],5,FALSE),DATA[[#This Row],[To_CL]]-DATA[[#This Row],[To_IL]])</f>
        <v>0.3</v>
      </c>
      <c r="K38" s="84">
        <v>0.3</v>
      </c>
      <c r="L38" s="82"/>
      <c r="M38" s="64">
        <v>100</v>
      </c>
      <c r="N38" s="85">
        <v>6.3</v>
      </c>
      <c r="O38" s="86"/>
      <c r="P38" s="65">
        <v>100</v>
      </c>
      <c r="Q38" s="92" t="b">
        <f>IF(COUNTIF(DATA[[#This Row],[From_ID]:[Dia]],"*total*")&gt;0,TRUE,FALSE)</f>
        <v>0</v>
      </c>
    </row>
    <row r="39" spans="1:17" x14ac:dyDescent="0.25">
      <c r="A39" s="91" t="str">
        <f t="shared" si="0"/>
        <v>Plastic</v>
      </c>
      <c r="B39" s="76" t="s">
        <v>124</v>
      </c>
      <c r="C39" s="3"/>
      <c r="D39" s="1" t="s">
        <v>30</v>
      </c>
      <c r="E39" s="83">
        <f>IF(DATA[[#This Row],[From_Type]]="Manhole",VLOOKUP(DATA[[#This Row],[From_ID]],MH_SCHED[],5,FALSE),DATA[[#This Row],[From_CL]]-DATA[[#This Row],[From_IL]])</f>
        <v>0.78500000000000369</v>
      </c>
      <c r="F39" s="81"/>
      <c r="G39" s="82"/>
      <c r="H39" s="122" t="s">
        <v>126</v>
      </c>
      <c r="I39" s="3" t="s">
        <v>30</v>
      </c>
      <c r="J39" s="83">
        <f>IF(DATA[[#This Row],[To_Type]]="Manhole",VLOOKUP(DATA[[#This Row],[To_ID]],MH_SCHED[],5,FALSE),DATA[[#This Row],[To_CL]]-DATA[[#This Row],[To_IL]])</f>
        <v>0.75</v>
      </c>
      <c r="K39" s="84"/>
      <c r="L39" s="82"/>
      <c r="M39" s="64">
        <v>100</v>
      </c>
      <c r="N39" s="85">
        <v>7.1</v>
      </c>
      <c r="O39" s="86"/>
      <c r="P39" s="65">
        <v>100</v>
      </c>
      <c r="Q39" s="92" t="b">
        <f>IF(COUNTIF(DATA[[#This Row],[From_ID]:[Dia]],"*total*")&gt;0,TRUE,FALSE)</f>
        <v>0</v>
      </c>
    </row>
    <row r="40" spans="1:17" x14ac:dyDescent="0.25">
      <c r="A40" s="91" t="str">
        <f t="shared" si="0"/>
        <v>Plastic</v>
      </c>
      <c r="B40" s="76" t="s">
        <v>126</v>
      </c>
      <c r="C40" s="3"/>
      <c r="D40" s="1" t="s">
        <v>30</v>
      </c>
      <c r="E40" s="83">
        <f>IF(DATA[[#This Row],[From_Type]]="Manhole",VLOOKUP(DATA[[#This Row],[From_ID]],MH_SCHED[],5,FALSE),DATA[[#This Row],[From_CL]]-DATA[[#This Row],[From_IL]])</f>
        <v>0.75</v>
      </c>
      <c r="F40" s="81"/>
      <c r="G40" s="82"/>
      <c r="H40" s="122" t="s">
        <v>127</v>
      </c>
      <c r="I40" s="3" t="s">
        <v>10</v>
      </c>
      <c r="J40" s="83">
        <f>IF(DATA[[#This Row],[To_Type]]="Manhole",VLOOKUP(DATA[[#This Row],[To_ID]],MH_SCHED[],5,FALSE),DATA[[#This Row],[To_CL]]-DATA[[#This Row],[To_IL]])</f>
        <v>0.3</v>
      </c>
      <c r="K40" s="84">
        <v>0.3</v>
      </c>
      <c r="L40" s="82"/>
      <c r="M40" s="64">
        <v>100</v>
      </c>
      <c r="N40" s="85">
        <v>3.4</v>
      </c>
      <c r="O40" s="86"/>
      <c r="P40" s="65">
        <v>100</v>
      </c>
      <c r="Q40" s="92" t="b">
        <f>IF(COUNTIF(DATA[[#This Row],[From_ID]:[Dia]],"*total*")&gt;0,TRUE,FALSE)</f>
        <v>0</v>
      </c>
    </row>
    <row r="41" spans="1:17" x14ac:dyDescent="0.25">
      <c r="A41" s="91" t="str">
        <f t="shared" si="0"/>
        <v>Plastic</v>
      </c>
      <c r="B41" s="76" t="s">
        <v>126</v>
      </c>
      <c r="C41" s="3" t="s">
        <v>127</v>
      </c>
      <c r="D41" s="1" t="s">
        <v>18</v>
      </c>
      <c r="E41" s="83">
        <f>IF(DATA[[#This Row],[From_Type]]="Manhole",VLOOKUP(DATA[[#This Row],[From_ID]],MH_SCHED[],5,FALSE),DATA[[#This Row],[From_CL]]-DATA[[#This Row],[From_IL]])</f>
        <v>0</v>
      </c>
      <c r="F41" s="81"/>
      <c r="G41" s="82"/>
      <c r="H41" s="122" t="s">
        <v>14</v>
      </c>
      <c r="I41" s="3" t="s">
        <v>14</v>
      </c>
      <c r="J41" s="83">
        <f>IF(DATA[[#This Row],[To_Type]]="Manhole",VLOOKUP(DATA[[#This Row],[To_ID]],MH_SCHED[],5,FALSE),DATA[[#This Row],[To_CL]]-DATA[[#This Row],[To_IL]])</f>
        <v>0.3</v>
      </c>
      <c r="K41" s="84">
        <v>0.3</v>
      </c>
      <c r="L41" s="82"/>
      <c r="M41" s="64">
        <v>100</v>
      </c>
      <c r="N41" s="85">
        <v>1.1499999999999999</v>
      </c>
      <c r="O41" s="86"/>
      <c r="P41" s="65">
        <v>100</v>
      </c>
      <c r="Q41" s="92" t="b">
        <f>IF(COUNTIF(DATA[[#This Row],[From_ID]:[Dia]],"*total*")&gt;0,TRUE,FALSE)</f>
        <v>0</v>
      </c>
    </row>
    <row r="42" spans="1:17" x14ac:dyDescent="0.25">
      <c r="A42" s="91" t="str">
        <f t="shared" si="0"/>
        <v>Plastic</v>
      </c>
      <c r="B42" s="76" t="s">
        <v>126</v>
      </c>
      <c r="C42" s="3"/>
      <c r="D42" s="1" t="s">
        <v>30</v>
      </c>
      <c r="E42" s="83">
        <f>IF(DATA[[#This Row],[From_Type]]="Manhole",VLOOKUP(DATA[[#This Row],[From_ID]],MH_SCHED[],5,FALSE),DATA[[#This Row],[From_CL]]-DATA[[#This Row],[From_IL]])</f>
        <v>0.75</v>
      </c>
      <c r="F42" s="81"/>
      <c r="G42" s="82"/>
      <c r="H42" s="122" t="s">
        <v>128</v>
      </c>
      <c r="I42" s="3" t="s">
        <v>10</v>
      </c>
      <c r="J42" s="83">
        <f>IF(DATA[[#This Row],[To_Type]]="Manhole",VLOOKUP(DATA[[#This Row],[To_ID]],MH_SCHED[],5,FALSE),DATA[[#This Row],[To_CL]]-DATA[[#This Row],[To_IL]])</f>
        <v>0.3</v>
      </c>
      <c r="K42" s="84">
        <v>0.3</v>
      </c>
      <c r="L42" s="82"/>
      <c r="M42" s="64">
        <v>100</v>
      </c>
      <c r="N42" s="85">
        <v>1.2</v>
      </c>
      <c r="O42" s="86"/>
      <c r="P42" s="65">
        <v>100</v>
      </c>
      <c r="Q42" s="92" t="b">
        <f>IF(COUNTIF(DATA[[#This Row],[From_ID]:[Dia]],"*total*")&gt;0,TRUE,FALSE)</f>
        <v>0</v>
      </c>
    </row>
    <row r="43" spans="1:17" x14ac:dyDescent="0.25">
      <c r="A43" s="91" t="str">
        <f t="shared" si="0"/>
        <v>Plastic</v>
      </c>
      <c r="B43" s="76" t="s">
        <v>126</v>
      </c>
      <c r="C43" s="3"/>
      <c r="D43" s="1" t="s">
        <v>30</v>
      </c>
      <c r="E43" s="83">
        <f>IF(DATA[[#This Row],[From_Type]]="Manhole",VLOOKUP(DATA[[#This Row],[From_ID]],MH_SCHED[],5,FALSE),DATA[[#This Row],[From_CL]]-DATA[[#This Row],[From_IL]])</f>
        <v>0.75</v>
      </c>
      <c r="F43" s="81"/>
      <c r="G43" s="82"/>
      <c r="H43" s="122" t="s">
        <v>129</v>
      </c>
      <c r="I43" s="3" t="s">
        <v>10</v>
      </c>
      <c r="J43" s="83">
        <f>IF(DATA[[#This Row],[To_Type]]="Manhole",VLOOKUP(DATA[[#This Row],[To_ID]],MH_SCHED[],5,FALSE),DATA[[#This Row],[To_CL]]-DATA[[#This Row],[To_IL]])</f>
        <v>0.3</v>
      </c>
      <c r="K43" s="84">
        <v>0.3</v>
      </c>
      <c r="L43" s="82"/>
      <c r="M43" s="64">
        <v>100</v>
      </c>
      <c r="N43" s="85">
        <v>10.95</v>
      </c>
      <c r="O43" s="86"/>
      <c r="P43" s="65">
        <v>100</v>
      </c>
      <c r="Q43" s="92" t="b">
        <f>IF(COUNTIF(DATA[[#This Row],[From_ID]:[Dia]],"*total*")&gt;0,TRUE,FALSE)</f>
        <v>0</v>
      </c>
    </row>
    <row r="44" spans="1:17" x14ac:dyDescent="0.25">
      <c r="A44" s="91" t="str">
        <f t="shared" si="0"/>
        <v>Plastic</v>
      </c>
      <c r="B44" s="76" t="s">
        <v>124</v>
      </c>
      <c r="C44" s="3"/>
      <c r="D44" s="1" t="s">
        <v>30</v>
      </c>
      <c r="E44" s="83">
        <f>IF(DATA[[#This Row],[From_Type]]="Manhole",VLOOKUP(DATA[[#This Row],[From_ID]],MH_SCHED[],5,FALSE),DATA[[#This Row],[From_CL]]-DATA[[#This Row],[From_IL]])</f>
        <v>0.78500000000000369</v>
      </c>
      <c r="F44" s="81"/>
      <c r="G44" s="82"/>
      <c r="H44" s="122" t="s">
        <v>130</v>
      </c>
      <c r="I44" s="3" t="s">
        <v>30</v>
      </c>
      <c r="J44" s="83">
        <f>IF(DATA[[#This Row],[To_Type]]="Manhole",VLOOKUP(DATA[[#This Row],[To_ID]],MH_SCHED[],5,FALSE),DATA[[#This Row],[To_CL]]-DATA[[#This Row],[To_IL]])</f>
        <v>0.75</v>
      </c>
      <c r="K44" s="84"/>
      <c r="L44" s="82"/>
      <c r="M44" s="64">
        <v>100</v>
      </c>
      <c r="N44" s="85">
        <v>7.1</v>
      </c>
      <c r="O44" s="86"/>
      <c r="P44" s="65">
        <v>100</v>
      </c>
      <c r="Q44" s="92" t="b">
        <f>IF(COUNTIF(DATA[[#This Row],[From_ID]:[Dia]],"*total*")&gt;0,TRUE,FALSE)</f>
        <v>0</v>
      </c>
    </row>
    <row r="45" spans="1:17" x14ac:dyDescent="0.25">
      <c r="A45" s="91" t="str">
        <f t="shared" si="0"/>
        <v>Plastic</v>
      </c>
      <c r="B45" s="76" t="s">
        <v>130</v>
      </c>
      <c r="C45" s="3"/>
      <c r="D45" s="1" t="s">
        <v>30</v>
      </c>
      <c r="E45" s="83">
        <f>IF(DATA[[#This Row],[From_Type]]="Manhole",VLOOKUP(DATA[[#This Row],[From_ID]],MH_SCHED[],5,FALSE),DATA[[#This Row],[From_CL]]-DATA[[#This Row],[From_IL]])</f>
        <v>0.75</v>
      </c>
      <c r="F45" s="81"/>
      <c r="G45" s="82"/>
      <c r="H45" s="122" t="s">
        <v>131</v>
      </c>
      <c r="I45" s="3" t="s">
        <v>10</v>
      </c>
      <c r="J45" s="83">
        <f>IF(DATA[[#This Row],[To_Type]]="Manhole",VLOOKUP(DATA[[#This Row],[To_ID]],MH_SCHED[],5,FALSE),DATA[[#This Row],[To_CL]]-DATA[[#This Row],[To_IL]])</f>
        <v>0.3</v>
      </c>
      <c r="K45" s="84">
        <v>0.3</v>
      </c>
      <c r="L45" s="82"/>
      <c r="M45" s="64">
        <v>100</v>
      </c>
      <c r="N45" s="85">
        <v>6.15</v>
      </c>
      <c r="O45" s="86"/>
      <c r="P45" s="65">
        <v>100</v>
      </c>
      <c r="Q45" s="92" t="b">
        <f>IF(COUNTIF(DATA[[#This Row],[From_ID]:[Dia]],"*total*")&gt;0,TRUE,FALSE)</f>
        <v>0</v>
      </c>
    </row>
    <row r="46" spans="1:17" x14ac:dyDescent="0.25">
      <c r="A46" s="91" t="str">
        <f t="shared" si="0"/>
        <v>Plastic</v>
      </c>
      <c r="B46" s="76" t="s">
        <v>130</v>
      </c>
      <c r="C46" s="3" t="s">
        <v>131</v>
      </c>
      <c r="D46" s="1" t="s">
        <v>18</v>
      </c>
      <c r="E46" s="83">
        <f>IF(DATA[[#This Row],[From_Type]]="Manhole",VLOOKUP(DATA[[#This Row],[From_ID]],MH_SCHED[],5,FALSE),DATA[[#This Row],[From_CL]]-DATA[[#This Row],[From_IL]])</f>
        <v>0</v>
      </c>
      <c r="F46" s="81"/>
      <c r="G46" s="82"/>
      <c r="H46" s="122" t="s">
        <v>14</v>
      </c>
      <c r="I46" s="3" t="s">
        <v>14</v>
      </c>
      <c r="J46" s="83">
        <f>IF(DATA[[#This Row],[To_Type]]="Manhole",VLOOKUP(DATA[[#This Row],[To_ID]],MH_SCHED[],5,FALSE),DATA[[#This Row],[To_CL]]-DATA[[#This Row],[To_IL]])</f>
        <v>0.3</v>
      </c>
      <c r="K46" s="84">
        <v>0.3</v>
      </c>
      <c r="L46" s="82"/>
      <c r="M46" s="64">
        <v>100</v>
      </c>
      <c r="N46" s="85">
        <v>1.65</v>
      </c>
      <c r="O46" s="86"/>
      <c r="P46" s="65">
        <v>100</v>
      </c>
      <c r="Q46" s="92" t="b">
        <f>IF(COUNTIF(DATA[[#This Row],[From_ID]:[Dia]],"*total*")&gt;0,TRUE,FALSE)</f>
        <v>0</v>
      </c>
    </row>
    <row r="47" spans="1:17" x14ac:dyDescent="0.25">
      <c r="A47" s="91" t="str">
        <f t="shared" si="0"/>
        <v>Plastic</v>
      </c>
      <c r="B47" s="76" t="s">
        <v>130</v>
      </c>
      <c r="C47" s="3"/>
      <c r="D47" s="1" t="s">
        <v>30</v>
      </c>
      <c r="E47" s="83">
        <f>IF(DATA[[#This Row],[From_Type]]="Manhole",VLOOKUP(DATA[[#This Row],[From_ID]],MH_SCHED[],5,FALSE),DATA[[#This Row],[From_CL]]-DATA[[#This Row],[From_IL]])</f>
        <v>0.75</v>
      </c>
      <c r="F47" s="81"/>
      <c r="G47" s="82"/>
      <c r="H47" s="122" t="s">
        <v>132</v>
      </c>
      <c r="I47" s="3" t="s">
        <v>10</v>
      </c>
      <c r="J47" s="83">
        <f>IF(DATA[[#This Row],[To_Type]]="Manhole",VLOOKUP(DATA[[#This Row],[To_ID]],MH_SCHED[],5,FALSE),DATA[[#This Row],[To_CL]]-DATA[[#This Row],[To_IL]])</f>
        <v>0.3</v>
      </c>
      <c r="K47" s="84">
        <v>0.3</v>
      </c>
      <c r="L47" s="82"/>
      <c r="M47" s="64">
        <v>100</v>
      </c>
      <c r="N47" s="85">
        <v>2.4</v>
      </c>
      <c r="O47" s="86"/>
      <c r="P47" s="65">
        <v>100</v>
      </c>
      <c r="Q47" s="92" t="b">
        <f>IF(COUNTIF(DATA[[#This Row],[From_ID]:[Dia]],"*total*")&gt;0,TRUE,FALSE)</f>
        <v>0</v>
      </c>
    </row>
    <row r="48" spans="1:17" x14ac:dyDescent="0.25">
      <c r="A48" s="91" t="str">
        <f t="shared" si="0"/>
        <v>Plastic</v>
      </c>
      <c r="B48" s="76" t="s">
        <v>130</v>
      </c>
      <c r="C48" s="3"/>
      <c r="D48" s="1" t="s">
        <v>30</v>
      </c>
      <c r="E48" s="83">
        <f>IF(DATA[[#This Row],[From_Type]]="Manhole",VLOOKUP(DATA[[#This Row],[From_ID]],MH_SCHED[],5,FALSE),DATA[[#This Row],[From_CL]]-DATA[[#This Row],[From_IL]])</f>
        <v>0.75</v>
      </c>
      <c r="F48" s="81"/>
      <c r="G48" s="82"/>
      <c r="H48" s="122" t="s">
        <v>133</v>
      </c>
      <c r="I48" s="3" t="s">
        <v>10</v>
      </c>
      <c r="J48" s="83">
        <f>IF(DATA[[#This Row],[To_Type]]="Manhole",VLOOKUP(DATA[[#This Row],[To_ID]],MH_SCHED[],5,FALSE),DATA[[#This Row],[To_CL]]-DATA[[#This Row],[To_IL]])</f>
        <v>0.3</v>
      </c>
      <c r="K48" s="84">
        <v>0.3</v>
      </c>
      <c r="L48" s="82"/>
      <c r="M48" s="64">
        <v>100</v>
      </c>
      <c r="N48" s="85">
        <v>11.35</v>
      </c>
      <c r="O48" s="86"/>
      <c r="P48" s="65">
        <v>100</v>
      </c>
      <c r="Q48" s="92" t="b">
        <f>IF(COUNTIF(DATA[[#This Row],[From_ID]:[Dia]],"*total*")&gt;0,TRUE,FALSE)</f>
        <v>0</v>
      </c>
    </row>
    <row r="49" spans="1:17" x14ac:dyDescent="0.25">
      <c r="A49" s="91" t="str">
        <f t="shared" si="0"/>
        <v>Plastic</v>
      </c>
      <c r="B49" s="76" t="s">
        <v>51</v>
      </c>
      <c r="C49" s="3"/>
      <c r="D49" s="1"/>
      <c r="E49" s="83">
        <f>IF(DATA[[#This Row],[From_Type]]="Manhole",VLOOKUP(DATA[[#This Row],[From_ID]],MH_SCHED[],5,FALSE),DATA[[#This Row],[From_CL]]-DATA[[#This Row],[From_IL]])</f>
        <v>0</v>
      </c>
      <c r="F49" s="81"/>
      <c r="G49" s="82"/>
      <c r="H49" s="122"/>
      <c r="I49" s="3"/>
      <c r="J49" s="83">
        <f>IF(DATA[[#This Row],[To_Type]]="Manhole",VLOOKUP(DATA[[#This Row],[To_ID]],MH_SCHED[],5,FALSE),DATA[[#This Row],[To_CL]]-DATA[[#This Row],[To_IL]])</f>
        <v>0</v>
      </c>
      <c r="K49" s="84"/>
      <c r="L49" s="82"/>
      <c r="M49" s="64">
        <v>100</v>
      </c>
      <c r="N49" s="85"/>
      <c r="O49" s="86"/>
      <c r="P49" s="65">
        <v>100</v>
      </c>
      <c r="Q49" s="92" t="b">
        <f>IF(COUNTIF(DATA[[#This Row],[From_ID]:[Dia]],"*total*")&gt;0,TRUE,FALSE)</f>
        <v>1</v>
      </c>
    </row>
    <row r="50" spans="1:17" x14ac:dyDescent="0.25">
      <c r="A50" s="91" t="str">
        <f>A48</f>
        <v>Plastic</v>
      </c>
      <c r="B50" s="76"/>
      <c r="C50" s="3"/>
      <c r="D50" s="1"/>
      <c r="E50" s="83">
        <f>IF(DATA[[#This Row],[From_Type]]="Manhole",VLOOKUP(DATA[[#This Row],[From_ID]],MH_SCHED[],5,FALSE),DATA[[#This Row],[From_CL]]-DATA[[#This Row],[From_IL]])</f>
        <v>0</v>
      </c>
      <c r="F50" s="81"/>
      <c r="G50" s="82"/>
      <c r="H50" s="122"/>
      <c r="I50" s="3"/>
      <c r="J50" s="83">
        <f>IF(DATA[[#This Row],[To_Type]]="Manhole",VLOOKUP(DATA[[#This Row],[To_ID]],MH_SCHED[],5,FALSE),DATA[[#This Row],[To_CL]]-DATA[[#This Row],[To_IL]])</f>
        <v>0</v>
      </c>
      <c r="K50" s="84"/>
      <c r="L50" s="82"/>
      <c r="M50" s="64"/>
      <c r="N50" s="85"/>
      <c r="O50" s="86"/>
      <c r="P50" s="65">
        <v>100</v>
      </c>
      <c r="Q50" s="92" t="b">
        <f>IF(COUNTIF(DATA[[#This Row],[From_ID]:[Dia]],"*total*")&gt;0,TRUE,FALSE)</f>
        <v>0</v>
      </c>
    </row>
    <row r="51" spans="1:17" x14ac:dyDescent="0.25">
      <c r="A51" s="91" t="str">
        <f t="shared" si="0"/>
        <v>Plastic</v>
      </c>
      <c r="B51" s="136" t="s">
        <v>134</v>
      </c>
      <c r="C51" s="3"/>
      <c r="D51" s="1"/>
      <c r="E51" s="83">
        <f>IF(DATA[[#This Row],[From_Type]]="Manhole",VLOOKUP(DATA[[#This Row],[From_ID]],MH_SCHED[],5,FALSE),DATA[[#This Row],[From_CL]]-DATA[[#This Row],[From_IL]])</f>
        <v>0</v>
      </c>
      <c r="F51" s="81"/>
      <c r="G51" s="82"/>
      <c r="H51" s="122"/>
      <c r="I51" s="3"/>
      <c r="J51" s="83">
        <f>IF(DATA[[#This Row],[To_Type]]="Manhole",VLOOKUP(DATA[[#This Row],[To_ID]],MH_SCHED[],5,FALSE),DATA[[#This Row],[To_CL]]-DATA[[#This Row],[To_IL]])</f>
        <v>0</v>
      </c>
      <c r="K51" s="84"/>
      <c r="L51" s="82"/>
      <c r="M51" s="64"/>
      <c r="N51" s="85"/>
      <c r="O51" s="86"/>
      <c r="P51" s="65">
        <v>100</v>
      </c>
      <c r="Q51" s="92" t="b">
        <f>IF(COUNTIF(DATA[[#This Row],[From_ID]:[Dia]],"*total*")&gt;0,TRUE,FALSE)</f>
        <v>0</v>
      </c>
    </row>
    <row r="52" spans="1:17" x14ac:dyDescent="0.25">
      <c r="A52" s="91" t="str">
        <f t="shared" si="0"/>
        <v>Plastic</v>
      </c>
      <c r="B52" s="76" t="s">
        <v>87</v>
      </c>
      <c r="C52" s="3"/>
      <c r="D52" s="1" t="s">
        <v>30</v>
      </c>
      <c r="E52" s="83">
        <f>IF(DATA[[#This Row],[From_Type]]="Manhole",VLOOKUP(DATA[[#This Row],[From_ID]],MH_SCHED[],5,FALSE),DATA[[#This Row],[From_CL]]-DATA[[#This Row],[From_IL]])</f>
        <v>1.5499999999999972</v>
      </c>
      <c r="F52" s="81"/>
      <c r="G52" s="82"/>
      <c r="H52" s="122" t="s">
        <v>88</v>
      </c>
      <c r="I52" s="3" t="s">
        <v>12</v>
      </c>
      <c r="J52" s="83">
        <f>IF(DATA[[#This Row],[To_Type]]="Manhole",VLOOKUP(DATA[[#This Row],[To_ID]],MH_SCHED[],5,FALSE),DATA[[#This Row],[To_CL]]-DATA[[#This Row],[To_IL]])</f>
        <v>0.3</v>
      </c>
      <c r="K52" s="84">
        <v>0.3</v>
      </c>
      <c r="L52" s="82"/>
      <c r="M52" s="64">
        <v>100</v>
      </c>
      <c r="N52" s="85">
        <v>9</v>
      </c>
      <c r="O52" s="86"/>
      <c r="P52" s="65">
        <v>100</v>
      </c>
      <c r="Q52" s="92" t="b">
        <f>IF(COUNTIF(DATA[[#This Row],[From_ID]:[Dia]],"*total*")&gt;0,TRUE,FALSE)</f>
        <v>0</v>
      </c>
    </row>
    <row r="53" spans="1:17" x14ac:dyDescent="0.25">
      <c r="A53" s="91" t="str">
        <f t="shared" si="0"/>
        <v>Plastic</v>
      </c>
      <c r="B53" s="76" t="s">
        <v>86</v>
      </c>
      <c r="C53" s="3" t="s">
        <v>87</v>
      </c>
      <c r="D53" s="1" t="s">
        <v>18</v>
      </c>
      <c r="E53" s="83">
        <f>IF(DATA[[#This Row],[From_Type]]="Manhole",VLOOKUP(DATA[[#This Row],[From_ID]],MH_SCHED[],5,FALSE),DATA[[#This Row],[From_CL]]-DATA[[#This Row],[From_IL]])</f>
        <v>0</v>
      </c>
      <c r="F53" s="81"/>
      <c r="G53" s="82"/>
      <c r="H53" s="122" t="s">
        <v>89</v>
      </c>
      <c r="I53" s="3" t="s">
        <v>12</v>
      </c>
      <c r="J53" s="83">
        <f>IF(DATA[[#This Row],[To_Type]]="Manhole",VLOOKUP(DATA[[#This Row],[To_ID]],MH_SCHED[],5,FALSE),DATA[[#This Row],[To_CL]]-DATA[[#This Row],[To_IL]])</f>
        <v>0.3</v>
      </c>
      <c r="K53" s="84">
        <v>0.3</v>
      </c>
      <c r="L53" s="82"/>
      <c r="M53" s="64">
        <v>100</v>
      </c>
      <c r="N53" s="85">
        <v>4</v>
      </c>
      <c r="O53" s="86"/>
      <c r="P53" s="65">
        <v>100</v>
      </c>
      <c r="Q53" s="92" t="b">
        <f>IF(COUNTIF(DATA[[#This Row],[From_ID]:[Dia]],"*total*")&gt;0,TRUE,FALSE)</f>
        <v>0</v>
      </c>
    </row>
    <row r="54" spans="1:17" x14ac:dyDescent="0.25">
      <c r="A54" s="91" t="str">
        <f t="shared" si="0"/>
        <v>Plastic</v>
      </c>
      <c r="B54" s="76" t="s">
        <v>86</v>
      </c>
      <c r="C54" s="3"/>
      <c r="D54" s="1" t="s">
        <v>30</v>
      </c>
      <c r="E54" s="83">
        <f>IF(DATA[[#This Row],[From_Type]]="Manhole",VLOOKUP(DATA[[#This Row],[From_ID]],MH_SCHED[],5,FALSE),DATA[[#This Row],[From_CL]]-DATA[[#This Row],[From_IL]])</f>
        <v>0.60000000000000142</v>
      </c>
      <c r="F54" s="81"/>
      <c r="G54" s="82"/>
      <c r="H54" s="122" t="s">
        <v>90</v>
      </c>
      <c r="I54" s="3" t="s">
        <v>12</v>
      </c>
      <c r="J54" s="83">
        <f>IF(DATA[[#This Row],[To_Type]]="Manhole",VLOOKUP(DATA[[#This Row],[To_ID]],MH_SCHED[],5,FALSE),DATA[[#This Row],[To_CL]]-DATA[[#This Row],[To_IL]])</f>
        <v>0.3</v>
      </c>
      <c r="K54" s="84">
        <v>0.3</v>
      </c>
      <c r="L54" s="82"/>
      <c r="M54" s="64">
        <v>100</v>
      </c>
      <c r="N54" s="85">
        <v>6.8</v>
      </c>
      <c r="O54" s="86"/>
      <c r="P54" s="65">
        <v>100</v>
      </c>
      <c r="Q54" s="92" t="b">
        <f>IF(COUNTIF(DATA[[#This Row],[From_ID]:[Dia]],"*total*")&gt;0,TRUE,FALSE)</f>
        <v>0</v>
      </c>
    </row>
    <row r="55" spans="1:17" x14ac:dyDescent="0.25">
      <c r="A55" s="91" t="str">
        <f t="shared" si="0"/>
        <v>Plastic</v>
      </c>
      <c r="B55" s="76" t="s">
        <v>91</v>
      </c>
      <c r="C55" s="3"/>
      <c r="D55" s="1" t="s">
        <v>30</v>
      </c>
      <c r="E55" s="83">
        <f>IF(DATA[[#This Row],[From_Type]]="Manhole",VLOOKUP(DATA[[#This Row],[From_ID]],MH_SCHED[],5,FALSE),DATA[[#This Row],[From_CL]]-DATA[[#This Row],[From_IL]])</f>
        <v>0.11499999999999488</v>
      </c>
      <c r="F55" s="81"/>
      <c r="G55" s="82"/>
      <c r="H55" s="122" t="s">
        <v>92</v>
      </c>
      <c r="I55" s="3" t="s">
        <v>12</v>
      </c>
      <c r="J55" s="83">
        <f>IF(DATA[[#This Row],[To_Type]]="Manhole",VLOOKUP(DATA[[#This Row],[To_ID]],MH_SCHED[],5,FALSE),DATA[[#This Row],[To_CL]]-DATA[[#This Row],[To_IL]])</f>
        <v>0.3</v>
      </c>
      <c r="K55" s="84">
        <v>0.3</v>
      </c>
      <c r="L55" s="82"/>
      <c r="M55" s="64">
        <v>100</v>
      </c>
      <c r="N55" s="85">
        <v>3.5</v>
      </c>
      <c r="O55" s="86"/>
      <c r="P55" s="65">
        <v>100</v>
      </c>
      <c r="Q55" s="92" t="b">
        <f>IF(COUNTIF(DATA[[#This Row],[From_ID]:[Dia]],"*total*")&gt;0,TRUE,FALSE)</f>
        <v>0</v>
      </c>
    </row>
    <row r="56" spans="1:17" x14ac:dyDescent="0.25">
      <c r="A56" s="91" t="str">
        <f t="shared" si="0"/>
        <v>Plastic</v>
      </c>
      <c r="B56" s="76" t="s">
        <v>93</v>
      </c>
      <c r="C56" s="3"/>
      <c r="D56" s="1" t="s">
        <v>30</v>
      </c>
      <c r="E56" s="83">
        <f>IF(DATA[[#This Row],[From_Type]]="Manhole",VLOOKUP(DATA[[#This Row],[From_ID]],MH_SCHED[],5,FALSE),DATA[[#This Row],[From_CL]]-DATA[[#This Row],[From_IL]])</f>
        <v>0.85000000000000142</v>
      </c>
      <c r="F56" s="81"/>
      <c r="G56" s="82"/>
      <c r="H56" s="122" t="s">
        <v>94</v>
      </c>
      <c r="I56" s="3" t="s">
        <v>12</v>
      </c>
      <c r="J56" s="83">
        <f>IF(DATA[[#This Row],[To_Type]]="Manhole",VLOOKUP(DATA[[#This Row],[To_ID]],MH_SCHED[],5,FALSE),DATA[[#This Row],[To_CL]]-DATA[[#This Row],[To_IL]])</f>
        <v>0.3</v>
      </c>
      <c r="K56" s="84">
        <v>0.3</v>
      </c>
      <c r="L56" s="82"/>
      <c r="M56" s="64">
        <v>100</v>
      </c>
      <c r="N56" s="85">
        <v>3.5</v>
      </c>
      <c r="O56" s="86"/>
      <c r="P56" s="65">
        <v>100</v>
      </c>
      <c r="Q56" s="92" t="b">
        <f>IF(COUNTIF(DATA[[#This Row],[From_ID]:[Dia]],"*total*")&gt;0,TRUE,FALSE)</f>
        <v>0</v>
      </c>
    </row>
    <row r="57" spans="1:17" x14ac:dyDescent="0.25">
      <c r="A57" s="91" t="str">
        <f t="shared" si="0"/>
        <v>Plastic</v>
      </c>
      <c r="B57" s="76" t="s">
        <v>93</v>
      </c>
      <c r="C57" s="3"/>
      <c r="D57" s="1" t="s">
        <v>30</v>
      </c>
      <c r="E57" s="83">
        <f>IF(DATA[[#This Row],[From_Type]]="Manhole",VLOOKUP(DATA[[#This Row],[From_ID]],MH_SCHED[],5,FALSE),DATA[[#This Row],[From_CL]]-DATA[[#This Row],[From_IL]])</f>
        <v>0.85000000000000142</v>
      </c>
      <c r="F57" s="81"/>
      <c r="G57" s="82"/>
      <c r="H57" s="122" t="s">
        <v>95</v>
      </c>
      <c r="I57" s="3" t="s">
        <v>12</v>
      </c>
      <c r="J57" s="83">
        <f>IF(DATA[[#This Row],[To_Type]]="Manhole",VLOOKUP(DATA[[#This Row],[To_ID]],MH_SCHED[],5,FALSE),DATA[[#This Row],[To_CL]]-DATA[[#This Row],[To_IL]])</f>
        <v>0.3</v>
      </c>
      <c r="K57" s="84">
        <v>0.3</v>
      </c>
      <c r="L57" s="82"/>
      <c r="M57" s="64">
        <v>100</v>
      </c>
      <c r="N57" s="85">
        <v>3.1</v>
      </c>
      <c r="O57" s="86"/>
      <c r="P57" s="65">
        <v>100</v>
      </c>
      <c r="Q57" s="92" t="b">
        <f>IF(COUNTIF(DATA[[#This Row],[From_ID]:[Dia]],"*total*")&gt;0,TRUE,FALSE)</f>
        <v>0</v>
      </c>
    </row>
    <row r="58" spans="1:17" x14ac:dyDescent="0.25">
      <c r="A58" s="91" t="str">
        <f t="shared" si="0"/>
        <v>Plastic</v>
      </c>
      <c r="B58" s="76" t="s">
        <v>93</v>
      </c>
      <c r="C58" s="3"/>
      <c r="D58" s="1" t="s">
        <v>30</v>
      </c>
      <c r="E58" s="83">
        <f>IF(DATA[[#This Row],[From_Type]]="Manhole",VLOOKUP(DATA[[#This Row],[From_ID]],MH_SCHED[],5,FALSE),DATA[[#This Row],[From_CL]]-DATA[[#This Row],[From_IL]])</f>
        <v>0.85000000000000142</v>
      </c>
      <c r="F58" s="81"/>
      <c r="G58" s="82"/>
      <c r="H58" s="122" t="s">
        <v>96</v>
      </c>
      <c r="I58" s="3" t="s">
        <v>12</v>
      </c>
      <c r="J58" s="83">
        <f>IF(DATA[[#This Row],[To_Type]]="Manhole",VLOOKUP(DATA[[#This Row],[To_ID]],MH_SCHED[],5,FALSE),DATA[[#This Row],[To_CL]]-DATA[[#This Row],[To_IL]])</f>
        <v>0.3</v>
      </c>
      <c r="K58" s="84">
        <v>0.3</v>
      </c>
      <c r="L58" s="82"/>
      <c r="M58" s="64">
        <v>100</v>
      </c>
      <c r="N58" s="85">
        <v>8.5</v>
      </c>
      <c r="O58" s="86"/>
      <c r="P58" s="65">
        <v>100</v>
      </c>
      <c r="Q58" s="92" t="b">
        <f>IF(COUNTIF(DATA[[#This Row],[From_ID]:[Dia]],"*total*")&gt;0,TRUE,FALSE)</f>
        <v>0</v>
      </c>
    </row>
    <row r="59" spans="1:17" x14ac:dyDescent="0.25">
      <c r="A59" s="91" t="str">
        <f t="shared" si="0"/>
        <v>Plastic</v>
      </c>
      <c r="B59" s="76" t="s">
        <v>97</v>
      </c>
      <c r="C59" s="3"/>
      <c r="D59" s="1" t="s">
        <v>30</v>
      </c>
      <c r="E59" s="83">
        <f>IF(DATA[[#This Row],[From_Type]]="Manhole",VLOOKUP(DATA[[#This Row],[From_ID]],MH_SCHED[],5,FALSE),DATA[[#This Row],[From_CL]]-DATA[[#This Row],[From_IL]])</f>
        <v>1.1599999999999966</v>
      </c>
      <c r="F59" s="81"/>
      <c r="G59" s="82"/>
      <c r="H59" s="122" t="s">
        <v>102</v>
      </c>
      <c r="I59" s="3" t="s">
        <v>12</v>
      </c>
      <c r="J59" s="83">
        <f>IF(DATA[[#This Row],[To_Type]]="Manhole",VLOOKUP(DATA[[#This Row],[To_ID]],MH_SCHED[],5,FALSE),DATA[[#This Row],[To_CL]]-DATA[[#This Row],[To_IL]])</f>
        <v>0.3</v>
      </c>
      <c r="K59" s="84">
        <v>0.3</v>
      </c>
      <c r="L59" s="82"/>
      <c r="M59" s="64">
        <v>100</v>
      </c>
      <c r="N59" s="85">
        <v>4.7</v>
      </c>
      <c r="O59" s="86"/>
      <c r="P59" s="65">
        <v>100</v>
      </c>
      <c r="Q59" s="92" t="b">
        <f>IF(COUNTIF(DATA[[#This Row],[From_ID]:[Dia]],"*total*")&gt;0,TRUE,FALSE)</f>
        <v>0</v>
      </c>
    </row>
    <row r="60" spans="1:17" x14ac:dyDescent="0.25">
      <c r="A60" s="91" t="str">
        <f t="shared" si="0"/>
        <v>Plastic</v>
      </c>
      <c r="B60" s="76" t="s">
        <v>97</v>
      </c>
      <c r="C60" s="3"/>
      <c r="D60" s="1" t="s">
        <v>30</v>
      </c>
      <c r="E60" s="83">
        <f>IF(DATA[[#This Row],[From_Type]]="Manhole",VLOOKUP(DATA[[#This Row],[From_ID]],MH_SCHED[],5,FALSE),DATA[[#This Row],[From_CL]]-DATA[[#This Row],[From_IL]])</f>
        <v>1.1599999999999966</v>
      </c>
      <c r="F60" s="81"/>
      <c r="G60" s="82"/>
      <c r="H60" s="122" t="s">
        <v>103</v>
      </c>
      <c r="I60" s="3" t="s">
        <v>12</v>
      </c>
      <c r="J60" s="83">
        <f>IF(DATA[[#This Row],[To_Type]]="Manhole",VLOOKUP(DATA[[#This Row],[To_ID]],MH_SCHED[],5,FALSE),DATA[[#This Row],[To_CL]]-DATA[[#This Row],[To_IL]])</f>
        <v>0.3</v>
      </c>
      <c r="K60" s="84">
        <v>0.3</v>
      </c>
      <c r="L60" s="82"/>
      <c r="M60" s="64">
        <v>100</v>
      </c>
      <c r="N60" s="85">
        <v>8.4</v>
      </c>
      <c r="O60" s="86"/>
      <c r="P60" s="65">
        <v>100</v>
      </c>
      <c r="Q60" s="92" t="b">
        <f>IF(COUNTIF(DATA[[#This Row],[From_ID]:[Dia]],"*total*")&gt;0,TRUE,FALSE)</f>
        <v>0</v>
      </c>
    </row>
    <row r="61" spans="1:17" x14ac:dyDescent="0.25">
      <c r="A61" s="91" t="str">
        <f t="shared" si="0"/>
        <v>Plastic</v>
      </c>
      <c r="B61" s="76" t="s">
        <v>108</v>
      </c>
      <c r="C61" s="3"/>
      <c r="D61" s="1" t="s">
        <v>30</v>
      </c>
      <c r="E61" s="83">
        <f>IF(DATA[[#This Row],[From_Type]]="Manhole",VLOOKUP(DATA[[#This Row],[From_ID]],MH_SCHED[],5,FALSE),DATA[[#This Row],[From_CL]]-DATA[[#This Row],[From_IL]])</f>
        <v>0.75</v>
      </c>
      <c r="F61" s="81"/>
      <c r="G61" s="82"/>
      <c r="H61" s="122" t="s">
        <v>115</v>
      </c>
      <c r="I61" s="3" t="s">
        <v>12</v>
      </c>
      <c r="J61" s="83">
        <f>IF(DATA[[#This Row],[To_Type]]="Manhole",VLOOKUP(DATA[[#This Row],[To_ID]],MH_SCHED[],5,FALSE),DATA[[#This Row],[To_CL]]-DATA[[#This Row],[To_IL]])</f>
        <v>0.3</v>
      </c>
      <c r="K61" s="84">
        <v>0.3</v>
      </c>
      <c r="L61" s="82"/>
      <c r="M61" s="64">
        <v>100</v>
      </c>
      <c r="N61" s="85">
        <v>5.45</v>
      </c>
      <c r="O61" s="86"/>
      <c r="P61" s="65">
        <v>100</v>
      </c>
      <c r="Q61" s="92" t="b">
        <f>IF(COUNTIF(DATA[[#This Row],[From_ID]:[Dia]],"*total*")&gt;0,TRUE,FALSE)</f>
        <v>0</v>
      </c>
    </row>
    <row r="62" spans="1:17" x14ac:dyDescent="0.25">
      <c r="A62" s="91" t="str">
        <f t="shared" si="0"/>
        <v>Plastic</v>
      </c>
      <c r="B62" s="76" t="s">
        <v>108</v>
      </c>
      <c r="C62" s="3"/>
      <c r="D62" s="1" t="s">
        <v>30</v>
      </c>
      <c r="E62" s="83">
        <f>IF(DATA[[#This Row],[From_Type]]="Manhole",VLOOKUP(DATA[[#This Row],[From_ID]],MH_SCHED[],5,FALSE),DATA[[#This Row],[From_CL]]-DATA[[#This Row],[From_IL]])</f>
        <v>0.75</v>
      </c>
      <c r="F62" s="81"/>
      <c r="G62" s="82"/>
      <c r="H62" s="122" t="s">
        <v>121</v>
      </c>
      <c r="I62" s="3" t="s">
        <v>12</v>
      </c>
      <c r="J62" s="83">
        <f>IF(DATA[[#This Row],[To_Type]]="Manhole",VLOOKUP(DATA[[#This Row],[To_ID]],MH_SCHED[],5,FALSE),DATA[[#This Row],[To_CL]]-DATA[[#This Row],[To_IL]])</f>
        <v>0.3</v>
      </c>
      <c r="K62" s="84">
        <v>0.3</v>
      </c>
      <c r="L62" s="82"/>
      <c r="M62" s="64">
        <v>100</v>
      </c>
      <c r="N62" s="85">
        <v>4.3</v>
      </c>
      <c r="O62" s="86"/>
      <c r="P62" s="65">
        <v>100</v>
      </c>
      <c r="Q62" s="92" t="b">
        <f>IF(COUNTIF(DATA[[#This Row],[From_ID]:[Dia]],"*total*")&gt;0,TRUE,FALSE)</f>
        <v>0</v>
      </c>
    </row>
    <row r="63" spans="1:17" x14ac:dyDescent="0.25">
      <c r="A63" s="91" t="str">
        <f t="shared" si="0"/>
        <v>Plastic</v>
      </c>
      <c r="B63" s="76" t="s">
        <v>122</v>
      </c>
      <c r="C63" s="3"/>
      <c r="D63" s="1" t="s">
        <v>30</v>
      </c>
      <c r="E63" s="83">
        <f>IF(DATA[[#This Row],[From_Type]]="Manhole",VLOOKUP(DATA[[#This Row],[From_ID]],MH_SCHED[],5,FALSE),DATA[[#This Row],[From_CL]]-DATA[[#This Row],[From_IL]])</f>
        <v>1.7000000000000028</v>
      </c>
      <c r="F63" s="81"/>
      <c r="G63" s="82"/>
      <c r="H63" s="122" t="s">
        <v>123</v>
      </c>
      <c r="I63" s="3" t="s">
        <v>12</v>
      </c>
      <c r="J63" s="83">
        <f>IF(DATA[[#This Row],[To_Type]]="Manhole",VLOOKUP(DATA[[#This Row],[To_ID]],MH_SCHED[],5,FALSE),DATA[[#This Row],[To_CL]]-DATA[[#This Row],[To_IL]])</f>
        <v>0.3</v>
      </c>
      <c r="K63" s="84">
        <v>0.3</v>
      </c>
      <c r="L63" s="82"/>
      <c r="M63" s="64">
        <v>100</v>
      </c>
      <c r="N63" s="85">
        <v>4.0999999999999996</v>
      </c>
      <c r="O63" s="86"/>
      <c r="P63" s="65">
        <v>100</v>
      </c>
      <c r="Q63" s="92" t="b">
        <f>IF(COUNTIF(DATA[[#This Row],[From_ID]:[Dia]],"*total*")&gt;0,TRUE,FALSE)</f>
        <v>0</v>
      </c>
    </row>
    <row r="64" spans="1:17" x14ac:dyDescent="0.25">
      <c r="A64" s="91" t="str">
        <f t="shared" si="0"/>
        <v>Plastic</v>
      </c>
      <c r="B64" s="76" t="s">
        <v>122</v>
      </c>
      <c r="C64" s="3"/>
      <c r="D64" s="1" t="s">
        <v>30</v>
      </c>
      <c r="E64" s="83">
        <f>IF(DATA[[#This Row],[From_Type]]="Manhole",VLOOKUP(DATA[[#This Row],[From_ID]],MH_SCHED[],5,FALSE),DATA[[#This Row],[From_CL]]-DATA[[#This Row],[From_IL]])</f>
        <v>1.7000000000000028</v>
      </c>
      <c r="F64" s="81"/>
      <c r="G64" s="82"/>
      <c r="H64" s="122" t="s">
        <v>125</v>
      </c>
      <c r="I64" s="3" t="s">
        <v>12</v>
      </c>
      <c r="J64" s="83">
        <f>IF(DATA[[#This Row],[To_Type]]="Manhole",VLOOKUP(DATA[[#This Row],[To_ID]],MH_SCHED[],5,FALSE),DATA[[#This Row],[To_CL]]-DATA[[#This Row],[To_IL]])</f>
        <v>0.3</v>
      </c>
      <c r="K64" s="84">
        <v>0.3</v>
      </c>
      <c r="L64" s="82"/>
      <c r="M64" s="64">
        <v>100</v>
      </c>
      <c r="N64" s="85">
        <v>9.8000000000000007</v>
      </c>
      <c r="O64" s="86"/>
      <c r="P64" s="65">
        <v>100</v>
      </c>
      <c r="Q64" s="92" t="b">
        <f>IF(COUNTIF(DATA[[#This Row],[From_ID]:[Dia]],"*total*")&gt;0,TRUE,FALSE)</f>
        <v>0</v>
      </c>
    </row>
    <row r="65" spans="1:17" x14ac:dyDescent="0.25">
      <c r="A65" s="91" t="str">
        <f t="shared" si="0"/>
        <v>Plastic</v>
      </c>
      <c r="B65" s="76" t="s">
        <v>51</v>
      </c>
      <c r="C65" s="3"/>
      <c r="D65" s="1"/>
      <c r="E65" s="83">
        <f>IF(DATA[[#This Row],[From_Type]]="Manhole",VLOOKUP(DATA[[#This Row],[From_ID]],MH_SCHED[],5,FALSE),DATA[[#This Row],[From_CL]]-DATA[[#This Row],[From_IL]])</f>
        <v>0</v>
      </c>
      <c r="F65" s="81"/>
      <c r="G65" s="82"/>
      <c r="H65" s="122"/>
      <c r="I65" s="3"/>
      <c r="J65" s="83">
        <f>IF(DATA[[#This Row],[To_Type]]="Manhole",VLOOKUP(DATA[[#This Row],[To_ID]],MH_SCHED[],5,FALSE),DATA[[#This Row],[To_CL]]-DATA[[#This Row],[To_IL]])</f>
        <v>0</v>
      </c>
      <c r="K65" s="84"/>
      <c r="L65" s="82"/>
      <c r="M65" s="64"/>
      <c r="N65" s="85"/>
      <c r="O65" s="86"/>
      <c r="P65" s="65">
        <v>100</v>
      </c>
      <c r="Q65" s="92" t="b">
        <f>IF(COUNTIF(DATA[[#This Row],[From_ID]:[Dia]],"*total*")&gt;0,TRUE,FALSE)</f>
        <v>1</v>
      </c>
    </row>
    <row r="66" spans="1:17" x14ac:dyDescent="0.25">
      <c r="A66" s="91" t="str">
        <f t="shared" si="0"/>
        <v>Plastic</v>
      </c>
      <c r="B66" s="76"/>
      <c r="C66" s="3"/>
      <c r="D66" s="1"/>
      <c r="E66" s="83">
        <f>IF(DATA[[#This Row],[From_Type]]="Manhole",VLOOKUP(DATA[[#This Row],[From_ID]],MH_SCHED[],5,FALSE),DATA[[#This Row],[From_CL]]-DATA[[#This Row],[From_IL]])</f>
        <v>0</v>
      </c>
      <c r="F66" s="81"/>
      <c r="G66" s="82"/>
      <c r="H66" s="122"/>
      <c r="I66" s="3"/>
      <c r="J66" s="83">
        <f>IF(DATA[[#This Row],[To_Type]]="Manhole",VLOOKUP(DATA[[#This Row],[To_ID]],MH_SCHED[],5,FALSE),DATA[[#This Row],[To_CL]]-DATA[[#This Row],[To_IL]])</f>
        <v>0</v>
      </c>
      <c r="K66" s="84"/>
      <c r="L66" s="82"/>
      <c r="M66" s="64"/>
      <c r="N66" s="85"/>
      <c r="O66" s="86"/>
      <c r="P66" s="65">
        <v>100</v>
      </c>
      <c r="Q66" s="92" t="b">
        <f>IF(COUNTIF(DATA[[#This Row],[From_ID]:[Dia]],"*total*")&gt;0,TRUE,FALSE)</f>
        <v>0</v>
      </c>
    </row>
    <row r="67" spans="1:17" x14ac:dyDescent="0.25">
      <c r="A67" s="91" t="str">
        <f t="shared" si="0"/>
        <v>Plastic</v>
      </c>
      <c r="B67" s="76" t="s">
        <v>136</v>
      </c>
      <c r="C67" s="3"/>
      <c r="D67" s="1"/>
      <c r="E67" s="83">
        <f>IF(DATA[[#This Row],[From_Type]]="Manhole",VLOOKUP(DATA[[#This Row],[From_ID]],MH_SCHED[],5,FALSE),DATA[[#This Row],[From_CL]]-DATA[[#This Row],[From_IL]])</f>
        <v>0</v>
      </c>
      <c r="F67" s="81"/>
      <c r="G67" s="82"/>
      <c r="H67" s="122"/>
      <c r="I67" s="3"/>
      <c r="J67" s="83">
        <f>IF(DATA[[#This Row],[To_Type]]="Manhole",VLOOKUP(DATA[[#This Row],[To_ID]],MH_SCHED[],5,FALSE),DATA[[#This Row],[To_CL]]-DATA[[#This Row],[To_IL]])</f>
        <v>0</v>
      </c>
      <c r="K67" s="84"/>
      <c r="L67" s="82"/>
      <c r="M67" s="64"/>
      <c r="N67" s="85"/>
      <c r="O67" s="86"/>
      <c r="P67" s="65">
        <v>100</v>
      </c>
      <c r="Q67" s="92" t="b">
        <f>IF(COUNTIF(DATA[[#This Row],[From_ID]:[Dia]],"*total*")&gt;0,TRUE,FALSE)</f>
        <v>0</v>
      </c>
    </row>
    <row r="68" spans="1:17" x14ac:dyDescent="0.25">
      <c r="A68" s="91" t="str">
        <f t="shared" si="0"/>
        <v>Plastic</v>
      </c>
      <c r="B68" s="76" t="s">
        <v>137</v>
      </c>
      <c r="C68" s="3"/>
      <c r="D68" s="1" t="s">
        <v>30</v>
      </c>
      <c r="E68" s="83">
        <f>IF(DATA[[#This Row],[From_Type]]="Manhole",VLOOKUP(DATA[[#This Row],[From_ID]],MH_SCHED[],5,FALSE),DATA[[#This Row],[From_CL]]-DATA[[#This Row],[From_IL]])</f>
        <v>0.70000000000000284</v>
      </c>
      <c r="F68" s="81"/>
      <c r="G68" s="82"/>
      <c r="H68" s="122" t="s">
        <v>138</v>
      </c>
      <c r="I68" s="3" t="s">
        <v>30</v>
      </c>
      <c r="J68" s="83">
        <f>IF(DATA[[#This Row],[To_Type]]="Manhole",VLOOKUP(DATA[[#This Row],[To_ID]],MH_SCHED[],5,FALSE),DATA[[#This Row],[To_CL]]-DATA[[#This Row],[To_IL]])</f>
        <v>2.9650000000000034</v>
      </c>
      <c r="K68" s="84"/>
      <c r="L68" s="82"/>
      <c r="M68" s="64">
        <v>100</v>
      </c>
      <c r="N68" s="85">
        <v>5</v>
      </c>
      <c r="O68" s="86"/>
      <c r="P68" s="65">
        <v>100</v>
      </c>
      <c r="Q68" s="92" t="b">
        <f>IF(COUNTIF(DATA[[#This Row],[From_ID]:[Dia]],"*total*")&gt;0,TRUE,FALSE)</f>
        <v>0</v>
      </c>
    </row>
    <row r="69" spans="1:17" x14ac:dyDescent="0.25">
      <c r="A69" s="91" t="str">
        <f t="shared" si="0"/>
        <v>Plastic</v>
      </c>
      <c r="B69" s="76" t="s">
        <v>138</v>
      </c>
      <c r="C69" s="3"/>
      <c r="D69" s="1" t="s">
        <v>30</v>
      </c>
      <c r="E69" s="83">
        <f>IF(DATA[[#This Row],[From_Type]]="Manhole",VLOOKUP(DATA[[#This Row],[From_ID]],MH_SCHED[],5,FALSE),DATA[[#This Row],[From_CL]]-DATA[[#This Row],[From_IL]])</f>
        <v>2.9650000000000034</v>
      </c>
      <c r="F69" s="81"/>
      <c r="G69" s="82"/>
      <c r="H69" s="122" t="s">
        <v>139</v>
      </c>
      <c r="I69" s="3" t="s">
        <v>10</v>
      </c>
      <c r="J69" s="83">
        <f>IF(DATA[[#This Row],[To_Type]]="Manhole",VLOOKUP(DATA[[#This Row],[To_ID]],MH_SCHED[],5,FALSE),DATA[[#This Row],[To_CL]]-DATA[[#This Row],[To_IL]])</f>
        <v>0.3</v>
      </c>
      <c r="K69" s="84">
        <v>0.3</v>
      </c>
      <c r="L69" s="82"/>
      <c r="M69" s="64">
        <v>100</v>
      </c>
      <c r="N69" s="85">
        <v>1.9</v>
      </c>
      <c r="O69" s="86"/>
      <c r="P69" s="65">
        <v>100</v>
      </c>
      <c r="Q69" s="92" t="b">
        <f>IF(COUNTIF(DATA[[#This Row],[From_ID]:[Dia]],"*total*")&gt;0,TRUE,FALSE)</f>
        <v>0</v>
      </c>
    </row>
    <row r="70" spans="1:17" x14ac:dyDescent="0.25">
      <c r="A70" s="91" t="str">
        <f t="shared" si="0"/>
        <v>Plastic</v>
      </c>
      <c r="B70" s="76" t="s">
        <v>138</v>
      </c>
      <c r="C70" s="3"/>
      <c r="D70" s="1" t="s">
        <v>30</v>
      </c>
      <c r="E70" s="83">
        <f>IF(DATA[[#This Row],[From_Type]]="Manhole",VLOOKUP(DATA[[#This Row],[From_ID]],MH_SCHED[],5,FALSE),DATA[[#This Row],[From_CL]]-DATA[[#This Row],[From_IL]])</f>
        <v>2.9650000000000034</v>
      </c>
      <c r="F70" s="81"/>
      <c r="G70" s="82"/>
      <c r="H70" s="122" t="s">
        <v>140</v>
      </c>
      <c r="I70" s="3" t="s">
        <v>10</v>
      </c>
      <c r="J70" s="83">
        <f>IF(DATA[[#This Row],[To_Type]]="Manhole",VLOOKUP(DATA[[#This Row],[To_ID]],MH_SCHED[],5,FALSE),DATA[[#This Row],[To_CL]]-DATA[[#This Row],[To_IL]])</f>
        <v>0.3</v>
      </c>
      <c r="K70" s="84">
        <v>0.3</v>
      </c>
      <c r="L70" s="82"/>
      <c r="M70" s="64">
        <v>100</v>
      </c>
      <c r="N70" s="85">
        <v>5.65</v>
      </c>
      <c r="O70" s="86"/>
      <c r="P70" s="65">
        <v>100</v>
      </c>
      <c r="Q70" s="92" t="b">
        <f>IF(COUNTIF(DATA[[#This Row],[From_ID]:[Dia]],"*total*")&gt;0,TRUE,FALSE)</f>
        <v>0</v>
      </c>
    </row>
    <row r="71" spans="1:17" x14ac:dyDescent="0.25">
      <c r="A71" s="91" t="str">
        <f t="shared" si="0"/>
        <v>Plastic</v>
      </c>
      <c r="B71" s="76" t="s">
        <v>138</v>
      </c>
      <c r="C71" s="3"/>
      <c r="D71" s="1" t="s">
        <v>30</v>
      </c>
      <c r="E71" s="83">
        <f>IF(DATA[[#This Row],[From_Type]]="Manhole",VLOOKUP(DATA[[#This Row],[From_ID]],MH_SCHED[],5,FALSE),DATA[[#This Row],[From_CL]]-DATA[[#This Row],[From_IL]])</f>
        <v>2.9650000000000034</v>
      </c>
      <c r="F71" s="81"/>
      <c r="G71" s="82"/>
      <c r="H71" s="122" t="s">
        <v>141</v>
      </c>
      <c r="I71" s="3" t="s">
        <v>30</v>
      </c>
      <c r="J71" s="83">
        <f>IF(DATA[[#This Row],[To_Type]]="Manhole",VLOOKUP(DATA[[#This Row],[To_ID]],MH_SCHED[],5,FALSE),DATA[[#This Row],[To_CL]]-DATA[[#This Row],[To_IL]])</f>
        <v>3.1099999999999994</v>
      </c>
      <c r="K71" s="84"/>
      <c r="L71" s="82"/>
      <c r="M71" s="64">
        <v>100</v>
      </c>
      <c r="N71" s="85">
        <v>8.15</v>
      </c>
      <c r="O71" s="86"/>
      <c r="P71" s="65">
        <v>100</v>
      </c>
      <c r="Q71" s="92" t="b">
        <f>IF(COUNTIF(DATA[[#This Row],[From_ID]:[Dia]],"*total*")&gt;0,TRUE,FALSE)</f>
        <v>0</v>
      </c>
    </row>
    <row r="72" spans="1:17" x14ac:dyDescent="0.25">
      <c r="A72" s="91" t="str">
        <f t="shared" si="0"/>
        <v>Plastic</v>
      </c>
      <c r="B72" s="76"/>
      <c r="C72" s="3"/>
      <c r="D72" s="1"/>
      <c r="E72" s="83">
        <f>IF(DATA[[#This Row],[From_Type]]="Manhole",VLOOKUP(DATA[[#This Row],[From_ID]],MH_SCHED[],5,FALSE),DATA[[#This Row],[From_CL]]-DATA[[#This Row],[From_IL]])</f>
        <v>0</v>
      </c>
      <c r="F72" s="81"/>
      <c r="G72" s="82"/>
      <c r="H72" s="122"/>
      <c r="I72" s="3"/>
      <c r="J72" s="83">
        <f>IF(DATA[[#This Row],[To_Type]]="Manhole",VLOOKUP(DATA[[#This Row],[To_ID]],MH_SCHED[],5,FALSE),DATA[[#This Row],[To_CL]]-DATA[[#This Row],[To_IL]])</f>
        <v>0</v>
      </c>
      <c r="K72" s="84"/>
      <c r="L72" s="82"/>
      <c r="M72" s="64"/>
      <c r="N72" s="85"/>
      <c r="O72" s="86"/>
      <c r="P72" s="65"/>
      <c r="Q72" s="92" t="b">
        <f>IF(COUNTIF(DATA[[#This Row],[From_ID]:[Dia]],"*total*")&gt;0,TRUE,FALSE)</f>
        <v>0</v>
      </c>
    </row>
  </sheetData>
  <mergeCells count="5">
    <mergeCell ref="C1:E1"/>
    <mergeCell ref="B3:C3"/>
    <mergeCell ref="B4:C4"/>
    <mergeCell ref="C2:E2"/>
    <mergeCell ref="G2:H2"/>
  </mergeCells>
  <dataValidations count="2">
    <dataValidation type="list" allowBlank="1" showInputMessage="1" showErrorMessage="1" sqref="I6:I72 D6:D72" xr:uid="{00000000-0002-0000-0000-000000000000}">
      <formula1>ID_Type_List</formula1>
    </dataValidation>
    <dataValidation type="list" allowBlank="1" showInputMessage="1" showErrorMessage="1" sqref="A6:A1048576" xr:uid="{00000000-0002-0000-0000-000001000000}">
      <formula1>Product_Type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A93A4-87C0-4453-B54C-D14677D177BC}">
  <sheetPr codeName="Sheet4">
    <tabColor rgb="FFFF0000"/>
  </sheetPr>
  <dimension ref="A1:H21"/>
  <sheetViews>
    <sheetView workbookViewId="0">
      <selection activeCell="B2" sqref="B2"/>
    </sheetView>
  </sheetViews>
  <sheetFormatPr defaultRowHeight="15" x14ac:dyDescent="0.25"/>
  <cols>
    <col min="1" max="1" width="10.42578125" customWidth="1"/>
    <col min="2" max="2" width="11.85546875" bestFit="1" customWidth="1"/>
    <col min="3" max="4" width="10.42578125" customWidth="1"/>
    <col min="5" max="5" width="6.28515625" bestFit="1" customWidth="1"/>
    <col min="6" max="6" width="4.85546875" bestFit="1" customWidth="1"/>
    <col min="7" max="7" width="10.7109375" customWidth="1"/>
    <col min="8" max="8" width="7.28515625" bestFit="1" customWidth="1"/>
  </cols>
  <sheetData>
    <row r="1" spans="1:8" x14ac:dyDescent="0.25">
      <c r="A1" s="4" t="s">
        <v>142</v>
      </c>
      <c r="B1" s="165" t="s">
        <v>143</v>
      </c>
      <c r="C1" s="166" t="s">
        <v>144</v>
      </c>
      <c r="D1" s="166" t="s">
        <v>145</v>
      </c>
      <c r="E1" s="166" t="s">
        <v>6</v>
      </c>
      <c r="F1" s="165" t="s">
        <v>8</v>
      </c>
      <c r="G1" s="165" t="s">
        <v>146</v>
      </c>
      <c r="H1" s="165" t="s">
        <v>147</v>
      </c>
    </row>
    <row r="2" spans="1:8" x14ac:dyDescent="0.25">
      <c r="A2" s="4" t="s">
        <v>152</v>
      </c>
      <c r="B2" s="165"/>
      <c r="C2" s="166">
        <v>36.685000000000002</v>
      </c>
      <c r="D2" s="166">
        <v>35.450000000000003</v>
      </c>
      <c r="E2" s="166">
        <f>MH_SCHED[[#This Row],[MH_CL]]-MH_SCHED[[#This Row],[MH_IL]]</f>
        <v>1.2349999999999994</v>
      </c>
      <c r="F2" s="165" t="s">
        <v>148</v>
      </c>
      <c r="G2" s="165"/>
      <c r="H2" s="165"/>
    </row>
    <row r="3" spans="1:8" x14ac:dyDescent="0.25">
      <c r="A3" s="4" t="s">
        <v>91</v>
      </c>
      <c r="B3" s="165"/>
      <c r="C3" s="166">
        <v>35.799999999999997</v>
      </c>
      <c r="D3" s="166">
        <v>35.685000000000002</v>
      </c>
      <c r="E3" s="166">
        <f>MH_SCHED[[#This Row],[MH_CL]]-MH_SCHED[[#This Row],[MH_IL]]</f>
        <v>0.11499999999999488</v>
      </c>
      <c r="F3" s="165" t="s">
        <v>148</v>
      </c>
      <c r="G3" s="165"/>
      <c r="H3" s="165"/>
    </row>
    <row r="4" spans="1:8" x14ac:dyDescent="0.25">
      <c r="A4" s="4" t="s">
        <v>86</v>
      </c>
      <c r="B4" s="165"/>
      <c r="C4" s="166">
        <v>36.6</v>
      </c>
      <c r="D4" s="166">
        <v>36</v>
      </c>
      <c r="E4" s="166">
        <f>MH_SCHED[[#This Row],[MH_CL]]-MH_SCHED[[#This Row],[MH_IL]]</f>
        <v>0.60000000000000142</v>
      </c>
      <c r="F4" s="165" t="s">
        <v>148</v>
      </c>
      <c r="G4" s="165"/>
      <c r="H4" s="165"/>
    </row>
    <row r="5" spans="1:8" x14ac:dyDescent="0.25">
      <c r="A5" s="4" t="s">
        <v>87</v>
      </c>
      <c r="B5" s="165"/>
      <c r="C5" s="166">
        <v>35.5</v>
      </c>
      <c r="D5" s="166">
        <v>33.950000000000003</v>
      </c>
      <c r="E5" s="166">
        <f>MH_SCHED[[#This Row],[MH_CL]]-MH_SCHED[[#This Row],[MH_IL]]</f>
        <v>1.5499999999999972</v>
      </c>
      <c r="F5" s="165" t="s">
        <v>149</v>
      </c>
      <c r="G5" s="165"/>
      <c r="H5" s="165"/>
    </row>
    <row r="6" spans="1:8" x14ac:dyDescent="0.25">
      <c r="A6" s="4" t="s">
        <v>93</v>
      </c>
      <c r="B6" s="165"/>
      <c r="C6" s="166">
        <v>35.85</v>
      </c>
      <c r="D6" s="166">
        <v>35</v>
      </c>
      <c r="E6" s="166">
        <f>MH_SCHED[[#This Row],[MH_CL]]-MH_SCHED[[#This Row],[MH_IL]]</f>
        <v>0.85000000000000142</v>
      </c>
      <c r="F6" s="165" t="s">
        <v>148</v>
      </c>
      <c r="G6" s="165"/>
      <c r="H6" s="165"/>
    </row>
    <row r="7" spans="1:8" x14ac:dyDescent="0.25">
      <c r="A7" s="4" t="s">
        <v>97</v>
      </c>
      <c r="B7" s="165"/>
      <c r="C7" s="166">
        <v>35.409999999999997</v>
      </c>
      <c r="D7" s="166">
        <v>34.25</v>
      </c>
      <c r="E7" s="166">
        <f>MH_SCHED[[#This Row],[MH_CL]]-MH_SCHED[[#This Row],[MH_IL]]</f>
        <v>1.1599999999999966</v>
      </c>
      <c r="F7" s="165" t="s">
        <v>148</v>
      </c>
      <c r="G7" s="165"/>
      <c r="H7" s="165"/>
    </row>
    <row r="8" spans="1:8" x14ac:dyDescent="0.25">
      <c r="A8" s="4" t="s">
        <v>108</v>
      </c>
      <c r="B8" s="165"/>
      <c r="C8" s="166">
        <v>35</v>
      </c>
      <c r="D8" s="166">
        <v>34.25</v>
      </c>
      <c r="E8" s="166">
        <f>MH_SCHED[[#This Row],[MH_CL]]-MH_SCHED[[#This Row],[MH_IL]]</f>
        <v>0.75</v>
      </c>
      <c r="F8" s="165" t="s">
        <v>148</v>
      </c>
      <c r="G8" s="165"/>
      <c r="H8" s="165"/>
    </row>
    <row r="9" spans="1:8" x14ac:dyDescent="0.25">
      <c r="A9" s="4" t="s">
        <v>122</v>
      </c>
      <c r="B9" s="165"/>
      <c r="C9" s="166">
        <v>36.200000000000003</v>
      </c>
      <c r="D9" s="166">
        <v>34.5</v>
      </c>
      <c r="E9" s="166">
        <f>MH_SCHED[[#This Row],[MH_CL]]-MH_SCHED[[#This Row],[MH_IL]]</f>
        <v>1.7000000000000028</v>
      </c>
      <c r="F9" s="165" t="s">
        <v>149</v>
      </c>
      <c r="G9" s="165"/>
      <c r="H9" s="165"/>
    </row>
    <row r="10" spans="1:8" x14ac:dyDescent="0.25">
      <c r="A10" s="4" t="s">
        <v>124</v>
      </c>
      <c r="B10" s="165"/>
      <c r="C10" s="166">
        <v>35.585000000000001</v>
      </c>
      <c r="D10" s="166">
        <v>34.799999999999997</v>
      </c>
      <c r="E10" s="166">
        <f>MH_SCHED[[#This Row],[MH_CL]]-MH_SCHED[[#This Row],[MH_IL]]</f>
        <v>0.78500000000000369</v>
      </c>
      <c r="F10" s="165" t="s">
        <v>148</v>
      </c>
      <c r="G10" s="165"/>
      <c r="H10" s="165"/>
    </row>
    <row r="11" spans="1:8" x14ac:dyDescent="0.25">
      <c r="A11" s="4" t="s">
        <v>116</v>
      </c>
      <c r="B11" s="165"/>
      <c r="C11" s="166">
        <v>35.75</v>
      </c>
      <c r="D11" s="166">
        <v>34.5</v>
      </c>
      <c r="E11" s="166">
        <f>MH_SCHED[[#This Row],[MH_CL]]-MH_SCHED[[#This Row],[MH_IL]]</f>
        <v>1.25</v>
      </c>
      <c r="F11" s="165" t="s">
        <v>150</v>
      </c>
      <c r="G11" s="165"/>
      <c r="H11" s="165"/>
    </row>
    <row r="12" spans="1:8" x14ac:dyDescent="0.25">
      <c r="A12" s="4" t="s">
        <v>109</v>
      </c>
      <c r="B12" s="165"/>
      <c r="C12" s="166">
        <v>35.5</v>
      </c>
      <c r="D12" s="166">
        <v>34.65</v>
      </c>
      <c r="E12" s="166">
        <f>MH_SCHED[[#This Row],[MH_CL]]-MH_SCHED[[#This Row],[MH_IL]]</f>
        <v>0.85000000000000142</v>
      </c>
      <c r="F12" s="165" t="s">
        <v>148</v>
      </c>
      <c r="G12" s="165"/>
      <c r="H12" s="165"/>
    </row>
    <row r="13" spans="1:8" x14ac:dyDescent="0.25">
      <c r="A13" s="4" t="s">
        <v>98</v>
      </c>
      <c r="B13" s="165"/>
      <c r="C13" s="166">
        <v>35.85</v>
      </c>
      <c r="D13" s="166">
        <v>35.1</v>
      </c>
      <c r="E13" s="166">
        <f>MH_SCHED[[#This Row],[MH_CL]]-MH_SCHED[[#This Row],[MH_IL]]</f>
        <v>0.75</v>
      </c>
      <c r="F13" s="165" t="s">
        <v>148</v>
      </c>
      <c r="G13" s="165"/>
      <c r="H13" s="165"/>
    </row>
    <row r="14" spans="1:8" x14ac:dyDescent="0.25">
      <c r="A14" s="4" t="s">
        <v>104</v>
      </c>
      <c r="B14" s="165"/>
      <c r="C14" s="166">
        <v>35.4</v>
      </c>
      <c r="D14" s="166">
        <v>34</v>
      </c>
      <c r="E14" s="166">
        <f>MH_SCHED[[#This Row],[MH_CL]]-MH_SCHED[[#This Row],[MH_IL]]</f>
        <v>1.3999999999999986</v>
      </c>
      <c r="F14" s="165" t="s">
        <v>150</v>
      </c>
      <c r="G14" s="165"/>
      <c r="H14" s="165"/>
    </row>
    <row r="15" spans="1:8" x14ac:dyDescent="0.25">
      <c r="A15" s="4" t="s">
        <v>117</v>
      </c>
      <c r="B15" s="165"/>
      <c r="C15" s="166">
        <v>35.15</v>
      </c>
      <c r="D15" s="166">
        <v>34.274999999999999</v>
      </c>
      <c r="E15" s="166">
        <f>MH_SCHED[[#This Row],[MH_CL]]-MH_SCHED[[#This Row],[MH_IL]]</f>
        <v>0.875</v>
      </c>
      <c r="F15" s="165" t="s">
        <v>148</v>
      </c>
      <c r="G15" s="165"/>
      <c r="H15" s="165"/>
    </row>
    <row r="16" spans="1:8" x14ac:dyDescent="0.25">
      <c r="A16" s="4" t="s">
        <v>130</v>
      </c>
      <c r="B16" s="165"/>
      <c r="C16" s="166">
        <v>35.15</v>
      </c>
      <c r="D16" s="166">
        <v>34.4</v>
      </c>
      <c r="E16" s="166">
        <f>MH_SCHED[[#This Row],[MH_CL]]-MH_SCHED[[#This Row],[MH_IL]]</f>
        <v>0.75</v>
      </c>
      <c r="F16" s="165" t="s">
        <v>148</v>
      </c>
      <c r="G16" s="165"/>
      <c r="H16" s="165"/>
    </row>
    <row r="17" spans="1:8" x14ac:dyDescent="0.25">
      <c r="A17" s="4" t="s">
        <v>110</v>
      </c>
      <c r="B17" s="165"/>
      <c r="C17" s="166">
        <v>36.6</v>
      </c>
      <c r="D17" s="166">
        <v>35.24</v>
      </c>
      <c r="E17" s="166">
        <f>MH_SCHED[[#This Row],[MH_CL]]-MH_SCHED[[#This Row],[MH_IL]]</f>
        <v>1.3599999999999994</v>
      </c>
      <c r="F17" s="165" t="s">
        <v>149</v>
      </c>
      <c r="G17" s="165"/>
      <c r="H17" s="165"/>
    </row>
    <row r="18" spans="1:8" x14ac:dyDescent="0.25">
      <c r="A18" s="4" t="s">
        <v>126</v>
      </c>
      <c r="B18" s="165"/>
      <c r="C18" s="166">
        <v>36.274999999999999</v>
      </c>
      <c r="D18" s="166">
        <v>35.524999999999999</v>
      </c>
      <c r="E18" s="166">
        <f>MH_SCHED[[#This Row],[MH_CL]]-MH_SCHED[[#This Row],[MH_IL]]</f>
        <v>0.75</v>
      </c>
      <c r="F18" s="165" t="s">
        <v>148</v>
      </c>
      <c r="G18" s="165"/>
      <c r="H18" s="165"/>
    </row>
    <row r="19" spans="1:8" x14ac:dyDescent="0.25">
      <c r="A19" s="4" t="s">
        <v>137</v>
      </c>
      <c r="B19" s="165"/>
      <c r="C19" s="166">
        <v>35.25</v>
      </c>
      <c r="D19" s="166">
        <v>34.549999999999997</v>
      </c>
      <c r="E19" s="166">
        <f>MH_SCHED[[#This Row],[MH_CL]]-MH_SCHED[[#This Row],[MH_IL]]</f>
        <v>0.70000000000000284</v>
      </c>
      <c r="F19" s="165" t="s">
        <v>148</v>
      </c>
      <c r="G19" s="165"/>
      <c r="H19" s="165"/>
    </row>
    <row r="20" spans="1:8" x14ac:dyDescent="0.25">
      <c r="A20" s="4" t="s">
        <v>138</v>
      </c>
      <c r="B20" s="165"/>
      <c r="C20" s="166">
        <v>36.625</v>
      </c>
      <c r="D20" s="166">
        <v>33.659999999999997</v>
      </c>
      <c r="E20" s="166">
        <f>MH_SCHED[[#This Row],[MH_CL]]-MH_SCHED[[#This Row],[MH_IL]]</f>
        <v>2.9650000000000034</v>
      </c>
      <c r="F20" s="165" t="s">
        <v>151</v>
      </c>
      <c r="G20" s="165"/>
      <c r="H20" s="165"/>
    </row>
    <row r="21" spans="1:8" x14ac:dyDescent="0.25">
      <c r="A21" s="4" t="s">
        <v>141</v>
      </c>
      <c r="B21" s="165"/>
      <c r="C21" s="166">
        <v>36.6</v>
      </c>
      <c r="D21" s="166">
        <v>33.49</v>
      </c>
      <c r="E21" s="166">
        <f>MH_SCHED[[#This Row],[MH_CL]]-MH_SCHED[[#This Row],[MH_IL]]</f>
        <v>3.1099999999999994</v>
      </c>
      <c r="F21" s="165" t="s">
        <v>151</v>
      </c>
      <c r="G21" s="165"/>
      <c r="H21" s="165"/>
    </row>
  </sheetData>
  <phoneticPr fontId="17" type="noConversion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&amp;L&amp;F&amp;CPage &amp;P of &amp;N&amp;RVer: 19.12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M72"/>
  <sheetViews>
    <sheetView view="pageBreakPreview" zoomScale="145" zoomScaleNormal="100" zoomScaleSheetLayoutView="145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G5" sqref="G5"/>
    </sheetView>
  </sheetViews>
  <sheetFormatPr defaultColWidth="9.140625" defaultRowHeight="12.75" x14ac:dyDescent="0.2"/>
  <cols>
    <col min="1" max="1" width="17.7109375" style="12" bestFit="1" customWidth="1"/>
    <col min="2" max="2" width="6.28515625" style="9" bestFit="1" customWidth="1"/>
    <col min="3" max="3" width="8.85546875" style="12" bestFit="1" customWidth="1"/>
    <col min="4" max="4" width="6.28515625" style="9" bestFit="1" customWidth="1"/>
    <col min="5" max="5" width="4" style="9" bestFit="1" customWidth="1"/>
    <col min="6" max="6" width="8.5703125" style="5" bestFit="1" customWidth="1"/>
    <col min="7" max="29" width="5.28515625" style="5" customWidth="1"/>
    <col min="30" max="31" width="11.28515625" style="9" bestFit="1" customWidth="1"/>
    <col min="32" max="32" width="9.7109375" style="9" bestFit="1" customWidth="1"/>
    <col min="33" max="33" width="8.5703125" style="9" bestFit="1" customWidth="1"/>
    <col min="34" max="34" width="7.28515625" style="6" bestFit="1" customWidth="1"/>
    <col min="35" max="35" width="5.85546875" style="6" bestFit="1" customWidth="1"/>
    <col min="36" max="36" width="7.7109375" style="7" bestFit="1" customWidth="1"/>
    <col min="37" max="37" width="16" style="7" bestFit="1" customWidth="1"/>
    <col min="38" max="16384" width="9.140625" style="7"/>
  </cols>
  <sheetData>
    <row r="1" spans="1:39" ht="15.75" customHeight="1" x14ac:dyDescent="0.2">
      <c r="A1" s="10"/>
      <c r="B1" s="12"/>
      <c r="C1" s="18" t="s">
        <v>0</v>
      </c>
      <c r="D1" s="197" t="str">
        <f>Job_Title</f>
        <v>Site Title</v>
      </c>
      <c r="E1" s="197"/>
      <c r="F1" s="197"/>
      <c r="G1" s="197"/>
      <c r="H1" s="199" t="s">
        <v>1</v>
      </c>
      <c r="I1" s="199"/>
      <c r="J1" s="200">
        <f>Job_No</f>
        <v>9999</v>
      </c>
      <c r="K1" s="200"/>
      <c r="L1" s="195" t="s">
        <v>2</v>
      </c>
      <c r="M1" s="195"/>
      <c r="N1" s="196">
        <f>Data_Date</f>
        <v>43816</v>
      </c>
      <c r="O1" s="196"/>
      <c r="P1" s="196"/>
      <c r="Q1" s="196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</row>
    <row r="2" spans="1:39" ht="15.75" customHeight="1" thickBot="1" x14ac:dyDescent="0.25">
      <c r="A2" s="10"/>
      <c r="B2" s="12"/>
      <c r="C2" s="18" t="s">
        <v>64</v>
      </c>
      <c r="D2" s="198" t="str">
        <f>Dwgs</f>
        <v>Drawing No - Rev</v>
      </c>
      <c r="E2" s="198"/>
      <c r="F2" s="198"/>
      <c r="G2" s="197"/>
      <c r="H2" s="199" t="s">
        <v>65</v>
      </c>
      <c r="I2" s="199"/>
      <c r="J2" s="201" t="str">
        <f>Revision</f>
        <v>-</v>
      </c>
      <c r="K2" s="201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</row>
    <row r="3" spans="1:39" ht="13.15" customHeight="1" x14ac:dyDescent="0.2">
      <c r="A3" s="185" t="s">
        <v>32</v>
      </c>
      <c r="B3" s="186"/>
      <c r="C3" s="186"/>
      <c r="D3" s="187"/>
      <c r="E3" s="188" t="s">
        <v>27</v>
      </c>
      <c r="F3" s="190" t="s">
        <v>85</v>
      </c>
      <c r="G3" s="192" t="s">
        <v>84</v>
      </c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4"/>
      <c r="AD3" s="182" t="s">
        <v>42</v>
      </c>
      <c r="AE3" s="184"/>
      <c r="AF3" s="31" t="s">
        <v>82</v>
      </c>
      <c r="AG3" s="31" t="s">
        <v>61</v>
      </c>
      <c r="AH3" s="182" t="s">
        <v>62</v>
      </c>
      <c r="AI3" s="183"/>
      <c r="AJ3" s="184"/>
      <c r="AK3" s="31" t="s">
        <v>73</v>
      </c>
    </row>
    <row r="4" spans="1:39" ht="14.45" customHeight="1" x14ac:dyDescent="0.2">
      <c r="A4" s="94" t="s">
        <v>7</v>
      </c>
      <c r="B4" s="95" t="s">
        <v>6</v>
      </c>
      <c r="C4" s="96" t="s">
        <v>26</v>
      </c>
      <c r="D4" s="95" t="s">
        <v>6</v>
      </c>
      <c r="E4" s="189"/>
      <c r="F4" s="191"/>
      <c r="G4" s="97">
        <v>0.5</v>
      </c>
      <c r="H4" s="98">
        <f>G4+0.25</f>
        <v>0.75</v>
      </c>
      <c r="I4" s="98">
        <f t="shared" ref="I4:K4" si="0">H4+0.25</f>
        <v>1</v>
      </c>
      <c r="J4" s="98">
        <f t="shared" si="0"/>
        <v>1.25</v>
      </c>
      <c r="K4" s="98">
        <f t="shared" si="0"/>
        <v>1.5</v>
      </c>
      <c r="L4" s="98">
        <f t="shared" ref="L4" si="1">K4+0.25</f>
        <v>1.75</v>
      </c>
      <c r="M4" s="98">
        <f t="shared" ref="M4" si="2">L4+0.25</f>
        <v>2</v>
      </c>
      <c r="N4" s="98">
        <f t="shared" ref="N4" si="3">M4+0.25</f>
        <v>2.25</v>
      </c>
      <c r="O4" s="98">
        <f t="shared" ref="O4" si="4">N4+0.25</f>
        <v>2.5</v>
      </c>
      <c r="P4" s="98">
        <f t="shared" ref="P4" si="5">O4+0.25</f>
        <v>2.75</v>
      </c>
      <c r="Q4" s="98">
        <f t="shared" ref="Q4" si="6">P4+0.25</f>
        <v>3</v>
      </c>
      <c r="R4" s="98">
        <f t="shared" ref="R4" si="7">Q4+0.25</f>
        <v>3.25</v>
      </c>
      <c r="S4" s="98">
        <f t="shared" ref="S4" si="8">R4+0.25</f>
        <v>3.5</v>
      </c>
      <c r="T4" s="98">
        <f t="shared" ref="T4" si="9">S4+0.25</f>
        <v>3.75</v>
      </c>
      <c r="U4" s="98">
        <f t="shared" ref="U4" si="10">T4+0.25</f>
        <v>4</v>
      </c>
      <c r="V4" s="98">
        <f t="shared" ref="V4" si="11">U4+0.25</f>
        <v>4.25</v>
      </c>
      <c r="W4" s="98">
        <f t="shared" ref="W4:AC4" si="12">V4+0.25</f>
        <v>4.5</v>
      </c>
      <c r="X4" s="98">
        <f t="shared" si="12"/>
        <v>4.75</v>
      </c>
      <c r="Y4" s="98">
        <f t="shared" si="12"/>
        <v>5</v>
      </c>
      <c r="Z4" s="98">
        <f t="shared" si="12"/>
        <v>5.25</v>
      </c>
      <c r="AA4" s="98">
        <f t="shared" si="12"/>
        <v>5.5</v>
      </c>
      <c r="AB4" s="98">
        <f t="shared" si="12"/>
        <v>5.75</v>
      </c>
      <c r="AC4" s="99">
        <f t="shared" si="12"/>
        <v>6</v>
      </c>
      <c r="AD4" s="100" t="s">
        <v>38</v>
      </c>
      <c r="AE4" s="101" t="s">
        <v>38</v>
      </c>
      <c r="AF4" s="102" t="s">
        <v>83</v>
      </c>
      <c r="AG4" s="102" t="s">
        <v>158</v>
      </c>
      <c r="AH4" s="100" t="s">
        <v>51</v>
      </c>
      <c r="AI4" s="103" t="s">
        <v>52</v>
      </c>
      <c r="AJ4" s="101" t="s">
        <v>53</v>
      </c>
      <c r="AK4" s="104" t="s">
        <v>74</v>
      </c>
    </row>
    <row r="5" spans="1:39" x14ac:dyDescent="0.2">
      <c r="A5" s="138" t="str">
        <f>DATA[[#This Row],[From_ID]]&amp;IF(COUNTA(DATA[[#This Row],[From_ID2]]),"/"&amp;DATA[[#This Row],[From_ID2]],)</f>
        <v>Storm Water</v>
      </c>
      <c r="B5" s="16">
        <f>DATA[[#This Row],[From_Depth]]</f>
        <v>0</v>
      </c>
      <c r="C5" s="90">
        <f>DATA[[#This Row],[To_ID]]</f>
        <v>0</v>
      </c>
      <c r="D5" s="16">
        <f>DATA[[#This Row],[To_Depth]]</f>
        <v>0</v>
      </c>
      <c r="E5" s="105">
        <f>DATA[[#This Row],[Dia]]</f>
        <v>0</v>
      </c>
      <c r="F5" s="23">
        <f>IF(Depths[[#This Row],[TOTAL]],SUMIF(Depths[FLAG],(Depths[[#This Row],[COUNT]]-1),Depths[Length]),SUM(Depths[[#This Row],[Depth1]:[Depth23]]))</f>
        <v>0</v>
      </c>
      <c r="G5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5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" s="26"/>
      <c r="AE5" s="27"/>
      <c r="AF5" s="134">
        <f>DATA[[#This Row],[Bedding]]/1000</f>
        <v>0</v>
      </c>
      <c r="AG5" s="170" t="str">
        <f>IF(OR(Depths[[#This Row],[From_Dp]]=0,Depths[[#This Row],[To_Dp]]=0),"",DATA[[#This Row],[Length]]/ABS(Depths[[#This Row],[To_Dp]]-Depths[[#This Row],[From_Dp]]))</f>
        <v/>
      </c>
      <c r="AH5" s="32" t="b">
        <f>IF(OR(DATA[[#This Row],[TOTAL]],COUNTIF(Depths[[#This Row],[From]:[Dia]],"*total*")&gt;0),TRUE,FALSE)</f>
        <v>0</v>
      </c>
      <c r="AI5" s="32">
        <f>IF(Depths[[#This Row],[TOTAL]],"",Depths[[#This Row],[COUNT]])</f>
        <v>1</v>
      </c>
      <c r="AJ5" s="33">
        <f>IF(Depths[[#This Row],[TOTAL]],$AJ4+1,IF($AJ4="COUNT",1,$AJ4))</f>
        <v>1</v>
      </c>
      <c r="AK5" s="32">
        <f>ABS(DATA[[#This Row],[Length]]-Depths[[#This Row],[Length]])</f>
        <v>0</v>
      </c>
    </row>
    <row r="6" spans="1:39" x14ac:dyDescent="0.2">
      <c r="A6" s="90" t="str">
        <f>DATA[[#This Row],[From_ID]]&amp;IF(COUNTA(DATA[[#This Row],[From_ID2]]),"/"&amp;DATA[[#This Row],[From_ID2]],)</f>
        <v>SWMH03</v>
      </c>
      <c r="B6" s="16">
        <f>DATA[[#This Row],[From_Depth]]</f>
        <v>0.60000000000000142</v>
      </c>
      <c r="C6" s="90" t="str">
        <f>DATA[[#This Row],[To_ID]]</f>
        <v>SWMH04</v>
      </c>
      <c r="D6" s="16">
        <f>DATA[[#This Row],[To_Depth]]</f>
        <v>1.5499999999999972</v>
      </c>
      <c r="E6" s="105">
        <f>DATA[[#This Row],[Dia]]</f>
        <v>100</v>
      </c>
      <c r="F6" s="23">
        <f>IF(Depths[[#This Row],[TOTAL]],SUMIF(Depths[FLAG],(Depths[[#This Row],[COUNT]]-1),Depths[Length]),SUM(Depths[[#This Row],[Depth1]:[Depth23]]))</f>
        <v>16.349999999999998</v>
      </c>
      <c r="G6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</v>
      </c>
      <c r="I6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4.3</v>
      </c>
      <c r="J6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4.3</v>
      </c>
      <c r="K6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4.3</v>
      </c>
      <c r="L6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0.45</v>
      </c>
      <c r="M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" s="26"/>
      <c r="AE6" s="27"/>
      <c r="AF6" s="134">
        <f>DATA[[#This Row],[Bedding]]/1000</f>
        <v>0.1</v>
      </c>
      <c r="AG6" s="170">
        <f>IF(OR(Depths[[#This Row],[From_Dp]]=0,Depths[[#This Row],[To_Dp]]=0),"",DATA[[#This Row],[Length]]/ABS(Depths[[#This Row],[To_Dp]]-Depths[[#This Row],[From_Dp]]))</f>
        <v>17.157894736842184</v>
      </c>
      <c r="AH6" s="32" t="b">
        <f>IF(OR(DATA[[#This Row],[TOTAL]],COUNTIF(Depths[[#This Row],[From]:[Dia]],"*total*")&gt;0),TRUE,FALSE)</f>
        <v>0</v>
      </c>
      <c r="AI6" s="32">
        <f>IF(Depths[[#This Row],[TOTAL]],"",Depths[[#This Row],[COUNT]])</f>
        <v>1</v>
      </c>
      <c r="AJ6" s="33">
        <f>IF(Depths[[#This Row],[TOTAL]],$AJ5+1,IF($AJ5="COUNT",1,$AJ5))</f>
        <v>1</v>
      </c>
      <c r="AK6" s="32">
        <f>ABS(DATA[[#This Row],[Length]]-Depths[[#This Row],[Length]])</f>
        <v>4.9999999999997158E-2</v>
      </c>
      <c r="AM6" s="173"/>
    </row>
    <row r="7" spans="1:39" x14ac:dyDescent="0.2">
      <c r="A7" s="90" t="str">
        <f>DATA[[#This Row],[From_ID]]&amp;IF(COUNTA(DATA[[#This Row],[From_ID2]]),"/"&amp;DATA[[#This Row],[From_ID2]],)</f>
        <v>SWMH04</v>
      </c>
      <c r="B7" s="16">
        <f>DATA[[#This Row],[From_Depth]]</f>
        <v>1.5499999999999972</v>
      </c>
      <c r="C7" s="90" t="str">
        <f>DATA[[#This Row],[To_ID]]</f>
        <v>Aco</v>
      </c>
      <c r="D7" s="16">
        <f>DATA[[#This Row],[To_Depth]]</f>
        <v>0.3</v>
      </c>
      <c r="E7" s="105">
        <f>DATA[[#This Row],[Dia]]</f>
        <v>100</v>
      </c>
      <c r="F7" s="23">
        <f>IF(Depths[[#This Row],[TOTAL]],SUMIF(Depths[FLAG],(Depths[[#This Row],[COUNT]]-1),Depths[Length]),SUM(Depths[[#This Row],[Depth1]:[Depth23]]))</f>
        <v>16.500000000000004</v>
      </c>
      <c r="G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2.95</v>
      </c>
      <c r="H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3.3000000000000003</v>
      </c>
      <c r="I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3.3000000000000003</v>
      </c>
      <c r="J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3.3000000000000003</v>
      </c>
      <c r="K7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3.3000000000000003</v>
      </c>
      <c r="L7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0.35000000000000003</v>
      </c>
      <c r="M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" s="26"/>
      <c r="AE7" s="27"/>
      <c r="AF7" s="134">
        <f>DATA[[#This Row],[Bedding]]/1000</f>
        <v>0.1</v>
      </c>
      <c r="AG7" s="170">
        <f>IF(OR(Depths[[#This Row],[From_Dp]]=0,Depths[[#This Row],[To_Dp]]=0),"",DATA[[#This Row],[Length]]/ABS(Depths[[#This Row],[To_Dp]]-Depths[[#This Row],[From_Dp]]))</f>
        <v>13.120000000000029</v>
      </c>
      <c r="AH7" s="32" t="b">
        <f>IF(OR(DATA[[#This Row],[TOTAL]],COUNTIF(Depths[[#This Row],[From]:[Dia]],"*total*")&gt;0),TRUE,FALSE)</f>
        <v>0</v>
      </c>
      <c r="AI7" s="32">
        <f>IF(Depths[[#This Row],[TOTAL]],"",Depths[[#This Row],[COUNT]])</f>
        <v>1</v>
      </c>
      <c r="AJ7" s="33">
        <f>IF(Depths[[#This Row],[TOTAL]],$AJ6+1,IF($AJ6="COUNT",1,$AJ6))</f>
        <v>1</v>
      </c>
      <c r="AK7" s="32">
        <f>ABS(DATA[[#This Row],[Length]]-Depths[[#This Row],[Length]])</f>
        <v>0.10000000000000497</v>
      </c>
    </row>
    <row r="8" spans="1:39" x14ac:dyDescent="0.2">
      <c r="A8" s="90" t="str">
        <f>DATA[[#This Row],[From_ID]]&amp;IF(COUNTA(DATA[[#This Row],[From_ID2]]),"/"&amp;DATA[[#This Row],[From_ID2]],)</f>
        <v>SWMH05</v>
      </c>
      <c r="B8" s="16">
        <f>DATA[[#This Row],[From_Depth]]</f>
        <v>0.85000000000000142</v>
      </c>
      <c r="C8" s="90" t="str">
        <f>DATA[[#This Row],[To_ID]]</f>
        <v>Aco</v>
      </c>
      <c r="D8" s="16">
        <f>DATA[[#This Row],[To_Depth]]</f>
        <v>0.3</v>
      </c>
      <c r="E8" s="105">
        <f>DATA[[#This Row],[Dia]]</f>
        <v>100</v>
      </c>
      <c r="F8" s="23">
        <f>IF(Depths[[#This Row],[TOTAL]],SUMIF(Depths[FLAG],(Depths[[#This Row],[COUNT]]-1),Depths[Length]),SUM(Depths[[#This Row],[Depth1]:[Depth23]]))</f>
        <v>12.600000000000001</v>
      </c>
      <c r="G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5.15</v>
      </c>
      <c r="H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5.75</v>
      </c>
      <c r="I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1.7000000000000002</v>
      </c>
      <c r="J8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8" s="26"/>
      <c r="AE8" s="27"/>
      <c r="AF8" s="134">
        <f>DATA[[#This Row],[Bedding]]/1000</f>
        <v>0.1</v>
      </c>
      <c r="AG8" s="170">
        <f>IF(OR(Depths[[#This Row],[From_Dp]]=0,Depths[[#This Row],[To_Dp]]=0),"",DATA[[#This Row],[Length]]/ABS(Depths[[#This Row],[To_Dp]]-Depths[[#This Row],[From_Dp]]))</f>
        <v>22.90909090909085</v>
      </c>
      <c r="AH8" s="32" t="b">
        <f>IF(OR(DATA[[#This Row],[TOTAL]],COUNTIF(Depths[[#This Row],[From]:[Dia]],"*total*")&gt;0),TRUE,FALSE)</f>
        <v>0</v>
      </c>
      <c r="AI8" s="32">
        <f>IF(Depths[[#This Row],[TOTAL]],"",Depths[[#This Row],[COUNT]])</f>
        <v>1</v>
      </c>
      <c r="AJ8" s="33">
        <f>IF(Depths[[#This Row],[TOTAL]],$AJ7+1,IF($AJ7="COUNT",1,$AJ7))</f>
        <v>1</v>
      </c>
      <c r="AK8" s="32">
        <f>ABS(DATA[[#This Row],[Length]]-Depths[[#This Row],[Length]])</f>
        <v>1.7763568394002505E-15</v>
      </c>
    </row>
    <row r="9" spans="1:39" x14ac:dyDescent="0.2">
      <c r="A9" s="93" t="str">
        <f>DATA[[#This Row],[From_ID]]&amp;IF(COUNTA(DATA[[#This Row],[From_ID2]]),"/"&amp;DATA[[#This Row],[From_ID2]],)</f>
        <v>SWMH06</v>
      </c>
      <c r="B9" s="16">
        <f>DATA[[#This Row],[From_Depth]]</f>
        <v>1.1599999999999966</v>
      </c>
      <c r="C9" s="93" t="str">
        <f>DATA[[#This Row],[To_ID]]</f>
        <v>SWMH12</v>
      </c>
      <c r="D9" s="16">
        <f>DATA[[#This Row],[To_Depth]]</f>
        <v>0.75</v>
      </c>
      <c r="E9" s="105">
        <f>DATA[[#This Row],[Dia]]</f>
        <v>100</v>
      </c>
      <c r="F9" s="120">
        <f>IF(Depths[[#This Row],[TOTAL]],SUMIF(Depths[FLAG],(Depths[[#This Row],[COUNT]]-1),Depths[Length]),SUM(Depths[[#This Row],[Depth1]:[Depth23]]))</f>
        <v>1.7500000000000002</v>
      </c>
      <c r="G9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0.1</v>
      </c>
      <c r="I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1.05</v>
      </c>
      <c r="J9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0.60000000000000009</v>
      </c>
      <c r="K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9" s="26"/>
      <c r="AE9" s="27"/>
      <c r="AF9" s="134">
        <f>DATA[[#This Row],[Bedding]]/1000</f>
        <v>0.1</v>
      </c>
      <c r="AG9" s="170">
        <f>IF(OR(Depths[[#This Row],[From_Dp]]=0,Depths[[#This Row],[To_Dp]]=0),"",DATA[[#This Row],[Length]]/ABS(Depths[[#This Row],[To_Dp]]-Depths[[#This Row],[From_Dp]]))</f>
        <v>4.268292682926865</v>
      </c>
      <c r="AH9" s="32" t="b">
        <f>IF(OR(DATA[[#This Row],[TOTAL]],COUNTIF(Depths[[#This Row],[From]:[Dia]],"*total*")&gt;0),TRUE,FALSE)</f>
        <v>0</v>
      </c>
      <c r="AI9" s="32">
        <f>IF(Depths[[#This Row],[TOTAL]],"",Depths[[#This Row],[COUNT]])</f>
        <v>1</v>
      </c>
      <c r="AJ9" s="33">
        <f>IF(Depths[[#This Row],[TOTAL]],$AJ8+1,IF($AJ8="COUNT",1,$AJ8))</f>
        <v>1</v>
      </c>
      <c r="AK9" s="32">
        <f>ABS(DATA[[#This Row],[Length]]-Depths[[#This Row],[Length]])</f>
        <v>2.2204460492503131E-16</v>
      </c>
    </row>
    <row r="10" spans="1:39" x14ac:dyDescent="0.2">
      <c r="A10" s="93" t="str">
        <f>DATA[[#This Row],[From_ID]]&amp;IF(COUNTA(DATA[[#This Row],[From_ID2]]),"/"&amp;DATA[[#This Row],[From_ID2]],)</f>
        <v>SWMH12</v>
      </c>
      <c r="B10" s="16">
        <f>DATA[[#This Row],[From_Depth]]</f>
        <v>0.75</v>
      </c>
      <c r="C10" s="93" t="str">
        <f>DATA[[#This Row],[To_ID]]</f>
        <v>RWP1</v>
      </c>
      <c r="D10" s="16">
        <f>DATA[[#This Row],[To_Depth]]</f>
        <v>0.3</v>
      </c>
      <c r="E10" s="105">
        <f>DATA[[#This Row],[Dia]]</f>
        <v>100</v>
      </c>
      <c r="F10" s="120">
        <f>IF(Depths[[#This Row],[TOTAL]],SUMIF(Depths[FLAG],(Depths[[#This Row],[COUNT]]-1),Depths[Length]),SUM(Depths[[#This Row],[Depth1]:[Depth23]]))</f>
        <v>3.8000000000000003</v>
      </c>
      <c r="G1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1.9000000000000001</v>
      </c>
      <c r="H10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1.9000000000000001</v>
      </c>
      <c r="I1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0" s="26"/>
      <c r="AE10" s="27"/>
      <c r="AF10" s="134">
        <f>DATA[[#This Row],[Bedding]]/1000</f>
        <v>0.1</v>
      </c>
      <c r="AG10" s="170">
        <f>IF(OR(Depths[[#This Row],[From_Dp]]=0,Depths[[#This Row],[To_Dp]]=0),"",DATA[[#This Row],[Length]]/ABS(Depths[[#This Row],[To_Dp]]-Depths[[#This Row],[From_Dp]]))</f>
        <v>8.4444444444444446</v>
      </c>
      <c r="AH10" s="32" t="b">
        <f>IF(OR(DATA[[#This Row],[TOTAL]],COUNTIF(Depths[[#This Row],[From]:[Dia]],"*total*")&gt;0),TRUE,FALSE)</f>
        <v>0</v>
      </c>
      <c r="AI10" s="32">
        <f>IF(Depths[[#This Row],[TOTAL]],"",Depths[[#This Row],[COUNT]])</f>
        <v>1</v>
      </c>
      <c r="AJ10" s="33">
        <f>IF(Depths[[#This Row],[TOTAL]],$AJ9+1,IF($AJ9="COUNT",1,$AJ9))</f>
        <v>1</v>
      </c>
      <c r="AK10" s="32">
        <f>ABS(DATA[[#This Row],[Length]]-Depths[[#This Row],[Length]])</f>
        <v>4.4408920985006262E-16</v>
      </c>
    </row>
    <row r="11" spans="1:39" x14ac:dyDescent="0.2">
      <c r="A11" s="123" t="str">
        <f>DATA[[#This Row],[From_ID]]&amp;IF(COUNTA(DATA[[#This Row],[From_ID2]]),"/"&amp;DATA[[#This Row],[From_ID2]],)</f>
        <v>SWMH12/RWP1</v>
      </c>
      <c r="B11" s="124">
        <f>DATA[[#This Row],[From_Depth]]</f>
        <v>0</v>
      </c>
      <c r="C11" s="123" t="str">
        <f>DATA[[#This Row],[To_ID]]</f>
        <v>Aco</v>
      </c>
      <c r="D11" s="124">
        <f>DATA[[#This Row],[To_Depth]]</f>
        <v>0.3</v>
      </c>
      <c r="E11" s="125">
        <f>DATA[[#This Row],[Dia]]</f>
        <v>100</v>
      </c>
      <c r="F11" s="126">
        <f>IF(Depths[[#This Row],[TOTAL]],SUMIF(Depths[FLAG],(Depths[[#This Row],[COUNT]]-1),Depths[Length]),SUM(Depths[[#This Row],[Depth1]:[Depth23]]))</f>
        <v>1.4</v>
      </c>
      <c r="G11" s="127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1.4</v>
      </c>
      <c r="H11" s="128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11" s="128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1" s="128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1" s="128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1" s="128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1" s="128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1" s="128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1" s="128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1" s="128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1" s="128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1" s="128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1" s="128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1" s="128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1" s="128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1" s="128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1" s="128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1" s="128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1" s="128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1" s="128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1" s="128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1" s="128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1" s="128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1" s="129"/>
      <c r="AE11" s="130"/>
      <c r="AF11" s="135">
        <f>DATA[[#This Row],[Bedding]]/1000</f>
        <v>0.1</v>
      </c>
      <c r="AG11" s="171" t="str">
        <f>IF(OR(Depths[[#This Row],[From_Dp]]=0,Depths[[#This Row],[To_Dp]]=0),"",DATA[[#This Row],[Length]]/ABS(Depths[[#This Row],[To_Dp]]-Depths[[#This Row],[From_Dp]]))</f>
        <v/>
      </c>
      <c r="AH11" s="131" t="b">
        <f>IF(OR(DATA[[#This Row],[TOTAL]],COUNTIF(Depths[[#This Row],[From]:[Dia]],"*total*")&gt;0),TRUE,FALSE)</f>
        <v>0</v>
      </c>
      <c r="AI11" s="131">
        <f>IF(Depths[[#This Row],[TOTAL]],"",Depths[[#This Row],[COUNT]])</f>
        <v>1</v>
      </c>
      <c r="AJ11" s="132">
        <f>IF(Depths[[#This Row],[TOTAL]],$AJ10+1,IF($AJ10="COUNT",1,$AJ10))</f>
        <v>1</v>
      </c>
      <c r="AK11" s="131">
        <f>ABS(DATA[[#This Row],[Length]]-Depths[[#This Row],[Length]])</f>
        <v>0</v>
      </c>
    </row>
    <row r="12" spans="1:39" x14ac:dyDescent="0.2">
      <c r="A12" s="123" t="str">
        <f>DATA[[#This Row],[From_ID]]&amp;IF(COUNTA(DATA[[#This Row],[From_ID2]]),"/"&amp;DATA[[#This Row],[From_ID2]],)</f>
        <v>SWMH12</v>
      </c>
      <c r="B12" s="124">
        <f>DATA[[#This Row],[From_Depth]]</f>
        <v>0.75</v>
      </c>
      <c r="C12" s="123" t="str">
        <f>DATA[[#This Row],[To_ID]]</f>
        <v>RWP2</v>
      </c>
      <c r="D12" s="124">
        <f>DATA[[#This Row],[To_Depth]]</f>
        <v>0.3</v>
      </c>
      <c r="E12" s="125">
        <f>DATA[[#This Row],[Dia]]</f>
        <v>100</v>
      </c>
      <c r="F12" s="126">
        <f>IF(Depths[[#This Row],[TOTAL]],SUMIF(Depths[FLAG],(Depths[[#This Row],[COUNT]]-1),Depths[Length]),SUM(Depths[[#This Row],[Depth1]:[Depth23]]))</f>
        <v>4.5</v>
      </c>
      <c r="G12" s="127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2.25</v>
      </c>
      <c r="H12" s="128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2.25</v>
      </c>
      <c r="I12" s="128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2" s="128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2" s="128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2" s="128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2" s="128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2" s="128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2" s="128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2" s="128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2" s="128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2" s="128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2" s="128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2" s="128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2" s="128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2" s="128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2" s="128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2" s="128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2" s="128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2" s="128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2" s="128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2" s="128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2" s="128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2" s="129"/>
      <c r="AE12" s="130"/>
      <c r="AF12" s="135">
        <f>DATA[[#This Row],[Bedding]]/1000</f>
        <v>0.1</v>
      </c>
      <c r="AG12" s="171">
        <f>IF(OR(Depths[[#This Row],[From_Dp]]=0,Depths[[#This Row],[To_Dp]]=0),"",DATA[[#This Row],[Length]]/ABS(Depths[[#This Row],[To_Dp]]-Depths[[#This Row],[From_Dp]]))</f>
        <v>10</v>
      </c>
      <c r="AH12" s="131" t="b">
        <f>IF(OR(DATA[[#This Row],[TOTAL]],COUNTIF(Depths[[#This Row],[From]:[Dia]],"*total*")&gt;0),TRUE,FALSE)</f>
        <v>0</v>
      </c>
      <c r="AI12" s="131">
        <f>IF(Depths[[#This Row],[TOTAL]],"",Depths[[#This Row],[COUNT]])</f>
        <v>1</v>
      </c>
      <c r="AJ12" s="132">
        <f>IF(Depths[[#This Row],[TOTAL]],$AJ11+1,IF($AJ11="COUNT",1,$AJ11))</f>
        <v>1</v>
      </c>
      <c r="AK12" s="131">
        <f>ABS(DATA[[#This Row],[Length]]-Depths[[#This Row],[Length]])</f>
        <v>0</v>
      </c>
    </row>
    <row r="13" spans="1:39" x14ac:dyDescent="0.2">
      <c r="A13" s="123" t="str">
        <f>DATA[[#This Row],[From_ID]]&amp;IF(COUNTA(DATA[[#This Row],[From_ID2]]),"/"&amp;DATA[[#This Row],[From_ID2]],)</f>
        <v>SWMH12</v>
      </c>
      <c r="B13" s="124">
        <f>DATA[[#This Row],[From_Depth]]</f>
        <v>0.75</v>
      </c>
      <c r="C13" s="123" t="str">
        <f>DATA[[#This Row],[To_ID]]</f>
        <v>RWP3</v>
      </c>
      <c r="D13" s="124">
        <f>DATA[[#This Row],[To_Depth]]</f>
        <v>0.3</v>
      </c>
      <c r="E13" s="125">
        <f>DATA[[#This Row],[Dia]]</f>
        <v>100</v>
      </c>
      <c r="F13" s="126">
        <f>IF(Depths[[#This Row],[TOTAL]],SUMIF(Depths[FLAG],(Depths[[#This Row],[COUNT]]-1),Depths[Length]),SUM(Depths[[#This Row],[Depth1]:[Depth23]]))</f>
        <v>10.5</v>
      </c>
      <c r="G13" s="127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5.25</v>
      </c>
      <c r="H13" s="128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5.25</v>
      </c>
      <c r="I13" s="128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3" s="128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3" s="128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3" s="128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3" s="128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3" s="128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3" s="128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3" s="128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3" s="128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3" s="128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3" s="128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3" s="128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3" s="128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3" s="128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3" s="128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3" s="128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3" s="128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3" s="128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3" s="128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3" s="128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3" s="128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3" s="129"/>
      <c r="AE13" s="130"/>
      <c r="AF13" s="135">
        <f>DATA[[#This Row],[Bedding]]/1000</f>
        <v>0.1</v>
      </c>
      <c r="AG13" s="171">
        <f>IF(OR(Depths[[#This Row],[From_Dp]]=0,Depths[[#This Row],[To_Dp]]=0),"",DATA[[#This Row],[Length]]/ABS(Depths[[#This Row],[To_Dp]]-Depths[[#This Row],[From_Dp]]))</f>
        <v>23.333333333333332</v>
      </c>
      <c r="AH13" s="131" t="b">
        <f>IF(OR(DATA[[#This Row],[TOTAL]],COUNTIF(Depths[[#This Row],[From]:[Dia]],"*total*")&gt;0),TRUE,FALSE)</f>
        <v>0</v>
      </c>
      <c r="AI13" s="131">
        <f>IF(Depths[[#This Row],[TOTAL]],"",Depths[[#This Row],[COUNT]])</f>
        <v>1</v>
      </c>
      <c r="AJ13" s="132">
        <f>IF(Depths[[#This Row],[TOTAL]],$AJ12+1,IF($AJ12="COUNT",1,$AJ12))</f>
        <v>1</v>
      </c>
      <c r="AK13" s="131">
        <f>ABS(DATA[[#This Row],[Length]]-Depths[[#This Row],[Length]])</f>
        <v>0</v>
      </c>
    </row>
    <row r="14" spans="1:39" x14ac:dyDescent="0.2">
      <c r="A14" s="133" t="str">
        <f>DATA[[#This Row],[From_ID]]&amp;IF(COUNTA(DATA[[#This Row],[From_ID2]]),"/"&amp;DATA[[#This Row],[From_ID2]],)</f>
        <v>SWMH06</v>
      </c>
      <c r="B14" s="16">
        <f>DATA[[#This Row],[From_Depth]]</f>
        <v>1.1599999999999966</v>
      </c>
      <c r="C14" s="133" t="str">
        <f>DATA[[#This Row],[To_ID]]</f>
        <v>SWMH13</v>
      </c>
      <c r="D14" s="16">
        <f>DATA[[#This Row],[To_Depth]]</f>
        <v>1.3999999999999986</v>
      </c>
      <c r="E14" s="105">
        <f>DATA[[#This Row],[Dia]]</f>
        <v>100</v>
      </c>
      <c r="F14" s="120">
        <f>IF(Depths[[#This Row],[TOTAL]],SUMIF(Depths[FLAG],(Depths[[#This Row],[COUNT]]-1),Depths[Length]),SUM(Depths[[#This Row],[Depth1]:[Depth23]]))</f>
        <v>15.3</v>
      </c>
      <c r="G14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14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14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7.3500000000000005</v>
      </c>
      <c r="K1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7.95</v>
      </c>
      <c r="L1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4" s="26"/>
      <c r="AE14" s="27"/>
      <c r="AF14" s="137">
        <f>DATA[[#This Row],[Bedding]]/1000</f>
        <v>0.1</v>
      </c>
      <c r="AG14" s="170">
        <f>IF(OR(Depths[[#This Row],[From_Dp]]=0,Depths[[#This Row],[To_Dp]]=0),"",DATA[[#This Row],[Length]]/ABS(Depths[[#This Row],[To_Dp]]-Depths[[#This Row],[From_Dp]]))</f>
        <v>63.749999999999474</v>
      </c>
      <c r="AH14" s="32" t="b">
        <f>IF(OR(DATA[[#This Row],[TOTAL]],COUNTIF(Depths[[#This Row],[From]:[Dia]],"*total*")&gt;0),TRUE,FALSE)</f>
        <v>0</v>
      </c>
      <c r="AI14" s="32">
        <f>IF(Depths[[#This Row],[TOTAL]],"",Depths[[#This Row],[COUNT]])</f>
        <v>1</v>
      </c>
      <c r="AJ14" s="33">
        <f>IF(Depths[[#This Row],[TOTAL]],$AJ13+1,IF($AJ13="COUNT",1,$AJ13))</f>
        <v>1</v>
      </c>
      <c r="AK14" s="32">
        <f>ABS(DATA[[#This Row],[Length]]-Depths[[#This Row],[Length]])</f>
        <v>0</v>
      </c>
    </row>
    <row r="15" spans="1:39" x14ac:dyDescent="0.2">
      <c r="A15" s="133" t="str">
        <f>DATA[[#This Row],[From_ID]]&amp;IF(COUNTA(DATA[[#This Row],[From_ID2]]),"/"&amp;DATA[[#This Row],[From_ID2]],)</f>
        <v>SWMH13</v>
      </c>
      <c r="B15" s="16">
        <f>DATA[[#This Row],[From_Depth]]</f>
        <v>1.3999999999999986</v>
      </c>
      <c r="C15" s="133" t="str">
        <f>DATA[[#This Row],[To_ID]]</f>
        <v>RWP4</v>
      </c>
      <c r="D15" s="16">
        <f>DATA[[#This Row],[To_Depth]]</f>
        <v>0.3</v>
      </c>
      <c r="E15" s="105">
        <f>DATA[[#This Row],[Dia]]</f>
        <v>100</v>
      </c>
      <c r="F15" s="120">
        <f>IF(Depths[[#This Row],[TOTAL]],SUMIF(Depths[FLAG],(Depths[[#This Row],[COUNT]]-1),Depths[Length]),SUM(Depths[[#This Row],[Depth1]:[Depth23]]))</f>
        <v>4.4000000000000004</v>
      </c>
      <c r="G1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0.9</v>
      </c>
      <c r="H1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</v>
      </c>
      <c r="I1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</v>
      </c>
      <c r="J15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</v>
      </c>
      <c r="K15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</v>
      </c>
      <c r="L1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5" s="26"/>
      <c r="AE15" s="27"/>
      <c r="AF15" s="137">
        <f>DATA[[#This Row],[Bedding]]/1000</f>
        <v>0.1</v>
      </c>
      <c r="AG15" s="170">
        <f>IF(OR(Depths[[#This Row],[From_Dp]]=0,Depths[[#This Row],[To_Dp]]=0),"",DATA[[#This Row],[Length]]/ABS(Depths[[#This Row],[To_Dp]]-Depths[[#This Row],[From_Dp]]))</f>
        <v>4.0454545454545512</v>
      </c>
      <c r="AH15" s="32" t="b">
        <f>IF(OR(DATA[[#This Row],[TOTAL]],COUNTIF(Depths[[#This Row],[From]:[Dia]],"*total*")&gt;0),TRUE,FALSE)</f>
        <v>0</v>
      </c>
      <c r="AI15" s="32">
        <f>IF(Depths[[#This Row],[TOTAL]],"",Depths[[#This Row],[COUNT]])</f>
        <v>1</v>
      </c>
      <c r="AJ15" s="33">
        <f>IF(Depths[[#This Row],[TOTAL]],$AJ14+1,IF($AJ14="COUNT",1,$AJ14))</f>
        <v>1</v>
      </c>
      <c r="AK15" s="32">
        <f>ABS(DATA[[#This Row],[Length]]-Depths[[#This Row],[Length]])</f>
        <v>4.9999999999999822E-2</v>
      </c>
    </row>
    <row r="16" spans="1:39" x14ac:dyDescent="0.2">
      <c r="A16" s="133" t="str">
        <f>DATA[[#This Row],[From_ID]]&amp;IF(COUNTA(DATA[[#This Row],[From_ID2]]),"/"&amp;DATA[[#This Row],[From_ID2]],)</f>
        <v>SWMH13/RWP4</v>
      </c>
      <c r="B16" s="16">
        <f>DATA[[#This Row],[From_Depth]]</f>
        <v>0</v>
      </c>
      <c r="C16" s="133" t="str">
        <f>DATA[[#This Row],[To_ID]]</f>
        <v>Aco</v>
      </c>
      <c r="D16" s="16">
        <f>DATA[[#This Row],[To_Depth]]</f>
        <v>0.3</v>
      </c>
      <c r="E16" s="105">
        <f>DATA[[#This Row],[Dia]]</f>
        <v>100</v>
      </c>
      <c r="F16" s="120">
        <f>IF(Depths[[#This Row],[TOTAL]],SUMIF(Depths[FLAG],(Depths[[#This Row],[COUNT]]-1),Depths[Length]),SUM(Depths[[#This Row],[Depth1]:[Depth23]]))</f>
        <v>1</v>
      </c>
      <c r="G1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1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16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1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6" s="26"/>
      <c r="AE16" s="27"/>
      <c r="AF16" s="137">
        <f>DATA[[#This Row],[Bedding]]/1000</f>
        <v>0.1</v>
      </c>
      <c r="AG16" s="170" t="str">
        <f>IF(OR(Depths[[#This Row],[From_Dp]]=0,Depths[[#This Row],[To_Dp]]=0),"",DATA[[#This Row],[Length]]/ABS(Depths[[#This Row],[To_Dp]]-Depths[[#This Row],[From_Dp]]))</f>
        <v/>
      </c>
      <c r="AH16" s="32" t="b">
        <f>IF(OR(DATA[[#This Row],[TOTAL]],COUNTIF(Depths[[#This Row],[From]:[Dia]],"*total*")&gt;0),TRUE,FALSE)</f>
        <v>0</v>
      </c>
      <c r="AI16" s="32">
        <f>IF(Depths[[#This Row],[TOTAL]],"",Depths[[#This Row],[COUNT]])</f>
        <v>1</v>
      </c>
      <c r="AJ16" s="33">
        <f>IF(Depths[[#This Row],[TOTAL]],$AJ15+1,IF($AJ15="COUNT",1,$AJ15))</f>
        <v>1</v>
      </c>
      <c r="AK16" s="32">
        <f>ABS(DATA[[#This Row],[Length]]-Depths[[#This Row],[Length]])</f>
        <v>0</v>
      </c>
    </row>
    <row r="17" spans="1:37" x14ac:dyDescent="0.2">
      <c r="A17" s="133" t="str">
        <f>DATA[[#This Row],[From_ID]]&amp;IF(COUNTA(DATA[[#This Row],[From_ID2]]),"/"&amp;DATA[[#This Row],[From_ID2]],)</f>
        <v>SWMH13</v>
      </c>
      <c r="B17" s="16">
        <f>DATA[[#This Row],[From_Depth]]</f>
        <v>1.3999999999999986</v>
      </c>
      <c r="C17" s="133" t="str">
        <f>DATA[[#This Row],[To_ID]]</f>
        <v>RWP5</v>
      </c>
      <c r="D17" s="16">
        <f>DATA[[#This Row],[To_Depth]]</f>
        <v>0.3</v>
      </c>
      <c r="E17" s="105">
        <f>DATA[[#This Row],[Dia]]</f>
        <v>100</v>
      </c>
      <c r="F17" s="120">
        <f>IF(Depths[[#This Row],[TOTAL]],SUMIF(Depths[FLAG],(Depths[[#This Row],[COUNT]]-1),Depths[Length]),SUM(Depths[[#This Row],[Depth1]:[Depth23]]))</f>
        <v>1.7499999999999998</v>
      </c>
      <c r="G1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0.35000000000000003</v>
      </c>
      <c r="H1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0.4</v>
      </c>
      <c r="I1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0.4</v>
      </c>
      <c r="J1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0.4</v>
      </c>
      <c r="K17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0.2</v>
      </c>
      <c r="L1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7" s="26"/>
      <c r="AE17" s="27"/>
      <c r="AF17" s="137">
        <f>DATA[[#This Row],[Bedding]]/1000</f>
        <v>0.1</v>
      </c>
      <c r="AG17" s="170">
        <f>IF(OR(Depths[[#This Row],[From_Dp]]=0,Depths[[#This Row],[To_Dp]]=0),"",DATA[[#This Row],[Length]]/ABS(Depths[[#This Row],[To_Dp]]-Depths[[#This Row],[From_Dp]]))</f>
        <v>1.6363636363636387</v>
      </c>
      <c r="AH17" s="32" t="b">
        <f>IF(OR(DATA[[#This Row],[TOTAL]],COUNTIF(Depths[[#This Row],[From]:[Dia]],"*total*")&gt;0),TRUE,FALSE)</f>
        <v>0</v>
      </c>
      <c r="AI17" s="32">
        <f>IF(Depths[[#This Row],[TOTAL]],"",Depths[[#This Row],[COUNT]])</f>
        <v>1</v>
      </c>
      <c r="AJ17" s="33">
        <f>IF(Depths[[#This Row],[TOTAL]],$AJ16+1,IF($AJ16="COUNT",1,$AJ16))</f>
        <v>1</v>
      </c>
      <c r="AK17" s="32">
        <f>ABS(DATA[[#This Row],[Length]]-Depths[[#This Row],[Length]])</f>
        <v>5.0000000000000266E-2</v>
      </c>
    </row>
    <row r="18" spans="1:37" x14ac:dyDescent="0.2">
      <c r="A18" s="133" t="str">
        <f>DATA[[#This Row],[From_ID]]&amp;IF(COUNTA(DATA[[#This Row],[From_ID2]]),"/"&amp;DATA[[#This Row],[From_ID2]],)</f>
        <v>SWMH13</v>
      </c>
      <c r="B18" s="16">
        <f>DATA[[#This Row],[From_Depth]]</f>
        <v>1.3999999999999986</v>
      </c>
      <c r="C18" s="133" t="str">
        <f>DATA[[#This Row],[To_ID]]</f>
        <v>RWP6</v>
      </c>
      <c r="D18" s="16">
        <f>DATA[[#This Row],[To_Depth]]</f>
        <v>0.3</v>
      </c>
      <c r="E18" s="105">
        <f>DATA[[#This Row],[Dia]]</f>
        <v>100</v>
      </c>
      <c r="F18" s="120">
        <f>IF(Depths[[#This Row],[TOTAL]],SUMIF(Depths[FLAG],(Depths[[#This Row],[COUNT]]-1),Depths[Length]),SUM(Depths[[#This Row],[Depth1]:[Depth23]]))</f>
        <v>9.4500000000000011</v>
      </c>
      <c r="G1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1.9500000000000002</v>
      </c>
      <c r="H1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2.15</v>
      </c>
      <c r="I1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2.15</v>
      </c>
      <c r="J18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2.15</v>
      </c>
      <c r="K18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1.05</v>
      </c>
      <c r="L1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8" s="26"/>
      <c r="AE18" s="27"/>
      <c r="AF18" s="137">
        <f>DATA[[#This Row],[Bedding]]/1000</f>
        <v>0.1</v>
      </c>
      <c r="AG18" s="170">
        <f>IF(OR(Depths[[#This Row],[From_Dp]]=0,Depths[[#This Row],[To_Dp]]=0),"",DATA[[#This Row],[Length]]/ABS(Depths[[#This Row],[To_Dp]]-Depths[[#This Row],[From_Dp]]))</f>
        <v>8.5909090909091024</v>
      </c>
      <c r="AH18" s="32" t="b">
        <f>IF(OR(DATA[[#This Row],[TOTAL]],COUNTIF(Depths[[#This Row],[From]:[Dia]],"*total*")&gt;0),TRUE,FALSE)</f>
        <v>0</v>
      </c>
      <c r="AI18" s="32">
        <f>IF(Depths[[#This Row],[TOTAL]],"",Depths[[#This Row],[COUNT]])</f>
        <v>1</v>
      </c>
      <c r="AJ18" s="33">
        <f>IF(Depths[[#This Row],[TOTAL]],$AJ17+1,IF($AJ17="COUNT",1,$AJ17))</f>
        <v>1</v>
      </c>
      <c r="AK18" s="32">
        <f>ABS(DATA[[#This Row],[Length]]-Depths[[#This Row],[Length]])</f>
        <v>1.7763568394002505E-15</v>
      </c>
    </row>
    <row r="19" spans="1:37" x14ac:dyDescent="0.2">
      <c r="A19" s="133" t="str">
        <f>DATA[[#This Row],[From_ID]]&amp;IF(COUNTA(DATA[[#This Row],[From_ID2]]),"/"&amp;DATA[[#This Row],[From_ID2]],)</f>
        <v>SWMH07</v>
      </c>
      <c r="B19" s="16">
        <f>DATA[[#This Row],[From_Depth]]</f>
        <v>0.75</v>
      </c>
      <c r="C19" s="133" t="str">
        <f>DATA[[#This Row],[To_ID]]</f>
        <v>SWMH11</v>
      </c>
      <c r="D19" s="16">
        <f>DATA[[#This Row],[To_Depth]]</f>
        <v>0.85000000000000142</v>
      </c>
      <c r="E19" s="105">
        <f>DATA[[#This Row],[Dia]]</f>
        <v>100</v>
      </c>
      <c r="F19" s="120">
        <f>IF(Depths[[#This Row],[TOTAL]],SUMIF(Depths[FLAG],(Depths[[#This Row],[COUNT]]-1),Depths[Length]),SUM(Depths[[#This Row],[Depth1]:[Depth23]]))</f>
        <v>10.3</v>
      </c>
      <c r="G19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1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2.5500000000000003</v>
      </c>
      <c r="I1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7.75</v>
      </c>
      <c r="J19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1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1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1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1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1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1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1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1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1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1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1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1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1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1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1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1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1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1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1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19" s="26"/>
      <c r="AE19" s="27"/>
      <c r="AF19" s="137">
        <f>DATA[[#This Row],[Bedding]]/1000</f>
        <v>0.1</v>
      </c>
      <c r="AG19" s="170">
        <f>IF(OR(Depths[[#This Row],[From_Dp]]=0,Depths[[#This Row],[To_Dp]]=0),"",DATA[[#This Row],[Length]]/ABS(Depths[[#This Row],[To_Dp]]-Depths[[#This Row],[From_Dp]]))</f>
        <v>102.99999999999855</v>
      </c>
      <c r="AH19" s="32" t="b">
        <f>IF(OR(DATA[[#This Row],[TOTAL]],COUNTIF(Depths[[#This Row],[From]:[Dia]],"*total*")&gt;0),TRUE,FALSE)</f>
        <v>0</v>
      </c>
      <c r="AI19" s="32">
        <f>IF(Depths[[#This Row],[TOTAL]],"",Depths[[#This Row],[COUNT]])</f>
        <v>1</v>
      </c>
      <c r="AJ19" s="33">
        <f>IF(Depths[[#This Row],[TOTAL]],$AJ18+1,IF($AJ18="COUNT",1,$AJ18))</f>
        <v>1</v>
      </c>
      <c r="AK19" s="32">
        <f>ABS(DATA[[#This Row],[Length]]-Depths[[#This Row],[Length]])</f>
        <v>0</v>
      </c>
    </row>
    <row r="20" spans="1:37" x14ac:dyDescent="0.2">
      <c r="A20" s="133" t="str">
        <f>DATA[[#This Row],[From_ID]]&amp;IF(COUNTA(DATA[[#This Row],[From_ID2]]),"/"&amp;DATA[[#This Row],[From_ID2]],)</f>
        <v>SWMH11</v>
      </c>
      <c r="B20" s="16">
        <f>DATA[[#This Row],[From_Depth]]</f>
        <v>0.85000000000000142</v>
      </c>
      <c r="C20" s="133" t="str">
        <f>DATA[[#This Row],[To_ID]]</f>
        <v>SWMH16</v>
      </c>
      <c r="D20" s="16">
        <f>DATA[[#This Row],[To_Depth]]</f>
        <v>1.3599999999999994</v>
      </c>
      <c r="E20" s="105">
        <f>DATA[[#This Row],[Dia]]</f>
        <v>100</v>
      </c>
      <c r="F20" s="120">
        <f>IF(Depths[[#This Row],[TOTAL]],SUMIF(Depths[FLAG],(Depths[[#This Row],[COUNT]]-1),Depths[Length]),SUM(Depths[[#This Row],[Depth1]:[Depth23]]))</f>
        <v>7.3</v>
      </c>
      <c r="G20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20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0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2.5</v>
      </c>
      <c r="J20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3.6</v>
      </c>
      <c r="K20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1.2000000000000002</v>
      </c>
      <c r="L2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0" s="26"/>
      <c r="AE20" s="27"/>
      <c r="AF20" s="137">
        <f>DATA[[#This Row],[Bedding]]/1000</f>
        <v>0.1</v>
      </c>
      <c r="AG20" s="170">
        <f>IF(OR(Depths[[#This Row],[From_Dp]]=0,Depths[[#This Row],[To_Dp]]=0),"",DATA[[#This Row],[Length]]/ABS(Depths[[#This Row],[To_Dp]]-Depths[[#This Row],[From_Dp]]))</f>
        <v>14.313725490196134</v>
      </c>
      <c r="AH20" s="32" t="b">
        <f>IF(OR(DATA[[#This Row],[TOTAL]],COUNTIF(Depths[[#This Row],[From]:[Dia]],"*total*")&gt;0),TRUE,FALSE)</f>
        <v>0</v>
      </c>
      <c r="AI20" s="32">
        <f>IF(Depths[[#This Row],[TOTAL]],"",Depths[[#This Row],[COUNT]])</f>
        <v>1</v>
      </c>
      <c r="AJ20" s="33">
        <f>IF(Depths[[#This Row],[TOTAL]],$AJ19+1,IF($AJ19="COUNT",1,$AJ19))</f>
        <v>1</v>
      </c>
      <c r="AK20" s="32">
        <f>ABS(DATA[[#This Row],[Length]]-Depths[[#This Row],[Length]])</f>
        <v>0</v>
      </c>
    </row>
    <row r="21" spans="1:37" x14ac:dyDescent="0.2">
      <c r="A21" s="133" t="str">
        <f>DATA[[#This Row],[From_ID]]&amp;IF(COUNTA(DATA[[#This Row],[From_ID2]]),"/"&amp;DATA[[#This Row],[From_ID2]],)</f>
        <v>SWMH16</v>
      </c>
      <c r="B21" s="16">
        <f>DATA[[#This Row],[From_Depth]]</f>
        <v>1.3599999999999994</v>
      </c>
      <c r="C21" s="133" t="str">
        <f>DATA[[#This Row],[To_ID]]</f>
        <v>RWP7</v>
      </c>
      <c r="D21" s="16">
        <f>DATA[[#This Row],[To_Depth]]</f>
        <v>0.3</v>
      </c>
      <c r="E21" s="105">
        <f>DATA[[#This Row],[Dia]]</f>
        <v>100</v>
      </c>
      <c r="F21" s="120">
        <f>IF(Depths[[#This Row],[TOTAL]],SUMIF(Depths[FLAG],(Depths[[#This Row],[COUNT]]-1),Depths[Length]),SUM(Depths[[#This Row],[Depth1]:[Depth23]]))</f>
        <v>6.9500000000000011</v>
      </c>
      <c r="G2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1.4500000000000002</v>
      </c>
      <c r="H21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1.6500000000000001</v>
      </c>
      <c r="I21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1.6500000000000001</v>
      </c>
      <c r="J21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1.6500000000000001</v>
      </c>
      <c r="K21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0.55000000000000004</v>
      </c>
      <c r="L2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1" s="26"/>
      <c r="AE21" s="27"/>
      <c r="AF21" s="137">
        <f>DATA[[#This Row],[Bedding]]/1000</f>
        <v>0.1</v>
      </c>
      <c r="AG21" s="170">
        <f>IF(OR(Depths[[#This Row],[From_Dp]]=0,Depths[[#This Row],[To_Dp]]=0),"",DATA[[#This Row],[Length]]/ABS(Depths[[#This Row],[To_Dp]]-Depths[[#This Row],[From_Dp]]))</f>
        <v>6.509433962264155</v>
      </c>
      <c r="AH21" s="32" t="b">
        <f>IF(OR(DATA[[#This Row],[TOTAL]],COUNTIF(Depths[[#This Row],[From]:[Dia]],"*total*")&gt;0),TRUE,FALSE)</f>
        <v>0</v>
      </c>
      <c r="AI21" s="32">
        <f>IF(Depths[[#This Row],[TOTAL]],"",Depths[[#This Row],[COUNT]])</f>
        <v>1</v>
      </c>
      <c r="AJ21" s="33">
        <f>IF(Depths[[#This Row],[TOTAL]],$AJ20+1,IF($AJ20="COUNT",1,$AJ20))</f>
        <v>1</v>
      </c>
      <c r="AK21" s="32">
        <f>ABS(DATA[[#This Row],[Length]]-Depths[[#This Row],[Length]])</f>
        <v>5.0000000000000711E-2</v>
      </c>
    </row>
    <row r="22" spans="1:37" x14ac:dyDescent="0.2">
      <c r="A22" s="133" t="str">
        <f>DATA[[#This Row],[From_ID]]&amp;IF(COUNTA(DATA[[#This Row],[From_ID2]]),"/"&amp;DATA[[#This Row],[From_ID2]],)</f>
        <v>SWMH16/RWP7</v>
      </c>
      <c r="B22" s="16">
        <f>DATA[[#This Row],[From_Depth]]</f>
        <v>0</v>
      </c>
      <c r="C22" s="133" t="str">
        <f>DATA[[#This Row],[To_ID]]</f>
        <v>Aco</v>
      </c>
      <c r="D22" s="16">
        <f>DATA[[#This Row],[To_Depth]]</f>
        <v>0.3</v>
      </c>
      <c r="E22" s="105">
        <f>DATA[[#This Row],[Dia]]</f>
        <v>100</v>
      </c>
      <c r="F22" s="120">
        <f>IF(Depths[[#This Row],[TOTAL]],SUMIF(Depths[FLAG],(Depths[[#This Row],[COUNT]]-1),Depths[Length]),SUM(Depths[[#This Row],[Depth1]:[Depth23]]))</f>
        <v>3</v>
      </c>
      <c r="G2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</v>
      </c>
      <c r="H22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2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2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2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2" s="26"/>
      <c r="AE22" s="27"/>
      <c r="AF22" s="137">
        <f>DATA[[#This Row],[Bedding]]/1000</f>
        <v>0.1</v>
      </c>
      <c r="AG22" s="170" t="str">
        <f>IF(OR(Depths[[#This Row],[From_Dp]]=0,Depths[[#This Row],[To_Dp]]=0),"",DATA[[#This Row],[Length]]/ABS(Depths[[#This Row],[To_Dp]]-Depths[[#This Row],[From_Dp]]))</f>
        <v/>
      </c>
      <c r="AH22" s="32" t="b">
        <f>IF(OR(DATA[[#This Row],[TOTAL]],COUNTIF(Depths[[#This Row],[From]:[Dia]],"*total*")&gt;0),TRUE,FALSE)</f>
        <v>0</v>
      </c>
      <c r="AI22" s="32">
        <f>IF(Depths[[#This Row],[TOTAL]],"",Depths[[#This Row],[COUNT]])</f>
        <v>1</v>
      </c>
      <c r="AJ22" s="33">
        <f>IF(Depths[[#This Row],[TOTAL]],$AJ21+1,IF($AJ21="COUNT",1,$AJ21))</f>
        <v>1</v>
      </c>
      <c r="AK22" s="32">
        <f>ABS(DATA[[#This Row],[Length]]-Depths[[#This Row],[Length]])</f>
        <v>0</v>
      </c>
    </row>
    <row r="23" spans="1:37" x14ac:dyDescent="0.2">
      <c r="A23" s="133" t="str">
        <f>DATA[[#This Row],[From_ID]]&amp;IF(COUNTA(DATA[[#This Row],[From_ID2]]),"/"&amp;DATA[[#This Row],[From_ID2]],)</f>
        <v>SWMH16</v>
      </c>
      <c r="B23" s="16">
        <f>DATA[[#This Row],[From_Depth]]</f>
        <v>1.3599999999999994</v>
      </c>
      <c r="C23" s="133" t="str">
        <f>DATA[[#This Row],[To_ID]]</f>
        <v>RWP8</v>
      </c>
      <c r="D23" s="16">
        <f>DATA[[#This Row],[To_Depth]]</f>
        <v>0.3</v>
      </c>
      <c r="E23" s="105">
        <f>DATA[[#This Row],[Dia]]</f>
        <v>100</v>
      </c>
      <c r="F23" s="120">
        <f>IF(Depths[[#This Row],[TOTAL]],SUMIF(Depths[FLAG],(Depths[[#This Row],[COUNT]]-1),Depths[Length]),SUM(Depths[[#This Row],[Depth1]:[Depth23]]))</f>
        <v>4.25</v>
      </c>
      <c r="G2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0.9</v>
      </c>
      <c r="H2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</v>
      </c>
      <c r="I23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</v>
      </c>
      <c r="J23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</v>
      </c>
      <c r="K23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0.35000000000000003</v>
      </c>
      <c r="L2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3" s="26"/>
      <c r="AE23" s="27"/>
      <c r="AF23" s="137">
        <f>DATA[[#This Row],[Bedding]]/1000</f>
        <v>0.1</v>
      </c>
      <c r="AG23" s="170">
        <f>IF(OR(Depths[[#This Row],[From_Dp]]=0,Depths[[#This Row],[To_Dp]]=0),"",DATA[[#This Row],[Length]]/ABS(Depths[[#This Row],[To_Dp]]-Depths[[#This Row],[From_Dp]]))</f>
        <v>4.0094339622641533</v>
      </c>
      <c r="AH23" s="32" t="b">
        <f>IF(OR(DATA[[#This Row],[TOTAL]],COUNTIF(Depths[[#This Row],[From]:[Dia]],"*total*")&gt;0),TRUE,FALSE)</f>
        <v>0</v>
      </c>
      <c r="AI23" s="32">
        <f>IF(Depths[[#This Row],[TOTAL]],"",Depths[[#This Row],[COUNT]])</f>
        <v>1</v>
      </c>
      <c r="AJ23" s="33">
        <f>IF(Depths[[#This Row],[TOTAL]],$AJ22+1,IF($AJ22="COUNT",1,$AJ22))</f>
        <v>1</v>
      </c>
      <c r="AK23" s="32">
        <f>ABS(DATA[[#This Row],[Length]]-Depths[[#This Row],[Length]])</f>
        <v>0</v>
      </c>
    </row>
    <row r="24" spans="1:37" x14ac:dyDescent="0.2">
      <c r="A24" s="133" t="str">
        <f>DATA[[#This Row],[From_ID]]&amp;IF(COUNTA(DATA[[#This Row],[From_ID2]]),"/"&amp;DATA[[#This Row],[From_ID2]],)</f>
        <v>SWMH16</v>
      </c>
      <c r="B24" s="16">
        <f>DATA[[#This Row],[From_Depth]]</f>
        <v>1.3599999999999994</v>
      </c>
      <c r="C24" s="133" t="str">
        <f>DATA[[#This Row],[To_ID]]</f>
        <v>RWP9</v>
      </c>
      <c r="D24" s="16">
        <f>DATA[[#This Row],[To_Depth]]</f>
        <v>0.3</v>
      </c>
      <c r="E24" s="105">
        <f>DATA[[#This Row],[Dia]]</f>
        <v>100</v>
      </c>
      <c r="F24" s="120">
        <f>IF(Depths[[#This Row],[TOTAL]],SUMIF(Depths[FLAG],(Depths[[#This Row],[COUNT]]-1),Depths[Length]),SUM(Depths[[#This Row],[Depth1]:[Depth23]]))</f>
        <v>1.05</v>
      </c>
      <c r="G24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0.2</v>
      </c>
      <c r="H2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0.25</v>
      </c>
      <c r="I2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0.25</v>
      </c>
      <c r="J2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0.25</v>
      </c>
      <c r="K2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0.1</v>
      </c>
      <c r="L2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4" s="26"/>
      <c r="AE24" s="27"/>
      <c r="AF24" s="137">
        <f>DATA[[#This Row],[Bedding]]/1000</f>
        <v>0.1</v>
      </c>
      <c r="AG24" s="170">
        <f>IF(OR(Depths[[#This Row],[From_Dp]]=0,Depths[[#This Row],[To_Dp]]=0),"",DATA[[#This Row],[Length]]/ABS(Depths[[#This Row],[To_Dp]]-Depths[[#This Row],[From_Dp]]))</f>
        <v>0.94339622641509491</v>
      </c>
      <c r="AH24" s="32" t="b">
        <f>IF(OR(DATA[[#This Row],[TOTAL]],COUNTIF(Depths[[#This Row],[From]:[Dia]],"*total*")&gt;0),TRUE,FALSE)</f>
        <v>0</v>
      </c>
      <c r="AI24" s="32">
        <f>IF(Depths[[#This Row],[TOTAL]],"",Depths[[#This Row],[COUNT]])</f>
        <v>1</v>
      </c>
      <c r="AJ24" s="33">
        <f>IF(Depths[[#This Row],[TOTAL]],$AJ23+1,IF($AJ23="COUNT",1,$AJ23))</f>
        <v>1</v>
      </c>
      <c r="AK24" s="32">
        <f>ABS(DATA[[#This Row],[Length]]-Depths[[#This Row],[Length]])</f>
        <v>5.0000000000000044E-2</v>
      </c>
    </row>
    <row r="25" spans="1:37" x14ac:dyDescent="0.2">
      <c r="A25" s="133" t="str">
        <f>DATA[[#This Row],[From_ID]]&amp;IF(COUNTA(DATA[[#This Row],[From_ID2]]),"/"&amp;DATA[[#This Row],[From_ID2]],)</f>
        <v>SWMH16</v>
      </c>
      <c r="B25" s="16">
        <f>DATA[[#This Row],[From_Depth]]</f>
        <v>1.3599999999999994</v>
      </c>
      <c r="C25" s="133" t="str">
        <f>DATA[[#This Row],[To_ID]]</f>
        <v>RWP10</v>
      </c>
      <c r="D25" s="16">
        <f>DATA[[#This Row],[To_Depth]]</f>
        <v>0.3</v>
      </c>
      <c r="E25" s="105">
        <f>DATA[[#This Row],[Dia]]</f>
        <v>100</v>
      </c>
      <c r="F25" s="120">
        <f>IF(Depths[[#This Row],[TOTAL]],SUMIF(Depths[FLAG],(Depths[[#This Row],[COUNT]]-1),Depths[Length]),SUM(Depths[[#This Row],[Depth1]:[Depth23]]))</f>
        <v>11.4</v>
      </c>
      <c r="G2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2.4000000000000004</v>
      </c>
      <c r="H2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2.7</v>
      </c>
      <c r="I2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2.7</v>
      </c>
      <c r="J25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2.7</v>
      </c>
      <c r="K25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0.9</v>
      </c>
      <c r="L2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5" s="26"/>
      <c r="AE25" s="27"/>
      <c r="AF25" s="137">
        <f>DATA[[#This Row],[Bedding]]/1000</f>
        <v>0.1</v>
      </c>
      <c r="AG25" s="170">
        <f>IF(OR(Depths[[#This Row],[From_Dp]]=0,Depths[[#This Row],[To_Dp]]=0),"",DATA[[#This Row],[Length]]/ABS(Depths[[#This Row],[To_Dp]]-Depths[[#This Row],[From_Dp]]))</f>
        <v>10.707547169811326</v>
      </c>
      <c r="AH25" s="32" t="b">
        <f>IF(OR(DATA[[#This Row],[TOTAL]],COUNTIF(Depths[[#This Row],[From]:[Dia]],"*total*")&gt;0),TRUE,FALSE)</f>
        <v>0</v>
      </c>
      <c r="AI25" s="32">
        <f>IF(Depths[[#This Row],[TOTAL]],"",Depths[[#This Row],[COUNT]])</f>
        <v>1</v>
      </c>
      <c r="AJ25" s="33">
        <f>IF(Depths[[#This Row],[TOTAL]],$AJ24+1,IF($AJ24="COUNT",1,$AJ24))</f>
        <v>1</v>
      </c>
      <c r="AK25" s="32">
        <f>ABS(DATA[[#This Row],[Length]]-Depths[[#This Row],[Length]])</f>
        <v>5.0000000000000711E-2</v>
      </c>
    </row>
    <row r="26" spans="1:37" x14ac:dyDescent="0.2">
      <c r="A26" s="133" t="str">
        <f>DATA[[#This Row],[From_ID]]&amp;IF(COUNTA(DATA[[#This Row],[From_ID2]]),"/"&amp;DATA[[#This Row],[From_ID2]],)</f>
        <v>SWMH16/RWP10</v>
      </c>
      <c r="B26" s="16">
        <f>DATA[[#This Row],[From_Depth]]</f>
        <v>0</v>
      </c>
      <c r="C26" s="133" t="str">
        <f>DATA[[#This Row],[To_ID]]</f>
        <v>Aco</v>
      </c>
      <c r="D26" s="16">
        <f>DATA[[#This Row],[To_Depth]]</f>
        <v>0.3</v>
      </c>
      <c r="E26" s="105">
        <f>DATA[[#This Row],[Dia]]</f>
        <v>100</v>
      </c>
      <c r="F26" s="120">
        <f>IF(Depths[[#This Row],[TOTAL]],SUMIF(Depths[FLAG],(Depths[[#This Row],[COUNT]]-1),Depths[Length]),SUM(Depths[[#This Row],[Depth1]:[Depth23]]))</f>
        <v>1</v>
      </c>
      <c r="G2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2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6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2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2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6" s="26"/>
      <c r="AE26" s="27"/>
      <c r="AF26" s="137">
        <f>DATA[[#This Row],[Bedding]]/1000</f>
        <v>0.1</v>
      </c>
      <c r="AG26" s="170" t="str">
        <f>IF(OR(Depths[[#This Row],[From_Dp]]=0,Depths[[#This Row],[To_Dp]]=0),"",DATA[[#This Row],[Length]]/ABS(Depths[[#This Row],[To_Dp]]-Depths[[#This Row],[From_Dp]]))</f>
        <v/>
      </c>
      <c r="AH26" s="32" t="b">
        <f>IF(OR(DATA[[#This Row],[TOTAL]],COUNTIF(Depths[[#This Row],[From]:[Dia]],"*total*")&gt;0),TRUE,FALSE)</f>
        <v>0</v>
      </c>
      <c r="AI26" s="32">
        <f>IF(Depths[[#This Row],[TOTAL]],"",Depths[[#This Row],[COUNT]])</f>
        <v>1</v>
      </c>
      <c r="AJ26" s="33">
        <f>IF(Depths[[#This Row],[TOTAL]],$AJ25+1,IF($AJ25="COUNT",1,$AJ25))</f>
        <v>1</v>
      </c>
      <c r="AK26" s="32">
        <f>ABS(DATA[[#This Row],[Length]]-Depths[[#This Row],[Length]])</f>
        <v>0</v>
      </c>
    </row>
    <row r="27" spans="1:37" x14ac:dyDescent="0.2">
      <c r="A27" s="133" t="str">
        <f>DATA[[#This Row],[From_ID]]&amp;IF(COUNTA(DATA[[#This Row],[From_ID2]]),"/"&amp;DATA[[#This Row],[From_ID2]],)</f>
        <v>SWMH07</v>
      </c>
      <c r="B27" s="16">
        <f>DATA[[#This Row],[From_Depth]]</f>
        <v>0.75</v>
      </c>
      <c r="C27" s="133" t="str">
        <f>DATA[[#This Row],[To_ID]]</f>
        <v>SWMH10</v>
      </c>
      <c r="D27" s="16">
        <f>DATA[[#This Row],[To_Depth]]</f>
        <v>1.25</v>
      </c>
      <c r="E27" s="105">
        <f>DATA[[#This Row],[Dia]]</f>
        <v>100</v>
      </c>
      <c r="F27" s="120">
        <f>IF(Depths[[#This Row],[TOTAL]],SUMIF(Depths[FLAG],(Depths[[#This Row],[COUNT]]-1),Depths[Length]),SUM(Depths[[#This Row],[Depth1]:[Depth23]]))</f>
        <v>8.8000000000000007</v>
      </c>
      <c r="G27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2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0.45</v>
      </c>
      <c r="I2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4.4000000000000004</v>
      </c>
      <c r="J2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3.95</v>
      </c>
      <c r="K27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7" s="26"/>
      <c r="AE27" s="27"/>
      <c r="AF27" s="137">
        <f>DATA[[#This Row],[Bedding]]/1000</f>
        <v>0.1</v>
      </c>
      <c r="AG27" s="170">
        <f>IF(OR(Depths[[#This Row],[From_Dp]]=0,Depths[[#This Row],[To_Dp]]=0),"",DATA[[#This Row],[Length]]/ABS(Depths[[#This Row],[To_Dp]]-Depths[[#This Row],[From_Dp]]))</f>
        <v>17.600000000000001</v>
      </c>
      <c r="AH27" s="32" t="b">
        <f>IF(OR(DATA[[#This Row],[TOTAL]],COUNTIF(Depths[[#This Row],[From]:[Dia]],"*total*")&gt;0),TRUE,FALSE)</f>
        <v>0</v>
      </c>
      <c r="AI27" s="32">
        <f>IF(Depths[[#This Row],[TOTAL]],"",Depths[[#This Row],[COUNT]])</f>
        <v>1</v>
      </c>
      <c r="AJ27" s="33">
        <f>IF(Depths[[#This Row],[TOTAL]],$AJ26+1,IF($AJ26="COUNT",1,$AJ26))</f>
        <v>1</v>
      </c>
      <c r="AK27" s="32">
        <f>ABS(DATA[[#This Row],[Length]]-Depths[[#This Row],[Length]])</f>
        <v>0</v>
      </c>
    </row>
    <row r="28" spans="1:37" x14ac:dyDescent="0.2">
      <c r="A28" s="133" t="str">
        <f>DATA[[#This Row],[From_ID]]&amp;IF(COUNTA(DATA[[#This Row],[From_ID2]]),"/"&amp;DATA[[#This Row],[From_ID2]],)</f>
        <v>SWMH10</v>
      </c>
      <c r="B28" s="16">
        <f>DATA[[#This Row],[From_Depth]]</f>
        <v>1.25</v>
      </c>
      <c r="C28" s="133" t="str">
        <f>DATA[[#This Row],[To_ID]]</f>
        <v>SWMH14</v>
      </c>
      <c r="D28" s="16">
        <f>DATA[[#This Row],[To_Depth]]</f>
        <v>0.875</v>
      </c>
      <c r="E28" s="105">
        <f>DATA[[#This Row],[Dia]]</f>
        <v>100</v>
      </c>
      <c r="F28" s="120">
        <f>IF(Depths[[#This Row],[TOTAL]],SUMIF(Depths[FLAG],(Depths[[#This Row],[COUNT]]-1),Depths[Length]),SUM(Depths[[#This Row],[Depth1]:[Depth23]]))</f>
        <v>4.2</v>
      </c>
      <c r="G28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28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2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1.7000000000000002</v>
      </c>
      <c r="J28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2.5</v>
      </c>
      <c r="K2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8" s="26"/>
      <c r="AE28" s="27"/>
      <c r="AF28" s="137">
        <f>DATA[[#This Row],[Bedding]]/1000</f>
        <v>0.1</v>
      </c>
      <c r="AG28" s="170">
        <f>IF(OR(Depths[[#This Row],[From_Dp]]=0,Depths[[#This Row],[To_Dp]]=0),"",DATA[[#This Row],[Length]]/ABS(Depths[[#This Row],[To_Dp]]-Depths[[#This Row],[From_Dp]]))</f>
        <v>11.200000000000001</v>
      </c>
      <c r="AH28" s="32" t="b">
        <f>IF(OR(DATA[[#This Row],[TOTAL]],COUNTIF(Depths[[#This Row],[From]:[Dia]],"*total*")&gt;0),TRUE,FALSE)</f>
        <v>0</v>
      </c>
      <c r="AI28" s="32">
        <f>IF(Depths[[#This Row],[TOTAL]],"",Depths[[#This Row],[COUNT]])</f>
        <v>1</v>
      </c>
      <c r="AJ28" s="33">
        <f>IF(Depths[[#This Row],[TOTAL]],$AJ27+1,IF($AJ27="COUNT",1,$AJ27))</f>
        <v>1</v>
      </c>
      <c r="AK28" s="32">
        <f>ABS(DATA[[#This Row],[Length]]-Depths[[#This Row],[Length]])</f>
        <v>0</v>
      </c>
    </row>
    <row r="29" spans="1:37" x14ac:dyDescent="0.2">
      <c r="A29" s="133" t="str">
        <f>DATA[[#This Row],[From_ID]]&amp;IF(COUNTA(DATA[[#This Row],[From_ID2]]),"/"&amp;DATA[[#This Row],[From_ID2]],)</f>
        <v>SWMH14</v>
      </c>
      <c r="B29" s="16">
        <f>DATA[[#This Row],[From_Depth]]</f>
        <v>0.875</v>
      </c>
      <c r="C29" s="133" t="str">
        <f>DATA[[#This Row],[To_ID]]</f>
        <v>RWP11</v>
      </c>
      <c r="D29" s="16">
        <f>DATA[[#This Row],[To_Depth]]</f>
        <v>0.3</v>
      </c>
      <c r="E29" s="105">
        <f>DATA[[#This Row],[Dia]]</f>
        <v>100</v>
      </c>
      <c r="F29" s="120">
        <f>IF(Depths[[#This Row],[TOTAL]],SUMIF(Depths[FLAG],(Depths[[#This Row],[COUNT]]-1),Depths[Length]),SUM(Depths[[#This Row],[Depth1]:[Depth23]]))</f>
        <v>5.4</v>
      </c>
      <c r="G29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2.1</v>
      </c>
      <c r="H2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2.35</v>
      </c>
      <c r="I2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0.95000000000000007</v>
      </c>
      <c r="J29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2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2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2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2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2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2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2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2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2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2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2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2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2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2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2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2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2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2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2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29" s="26"/>
      <c r="AE29" s="27"/>
      <c r="AF29" s="137">
        <f>DATA[[#This Row],[Bedding]]/1000</f>
        <v>0.1</v>
      </c>
      <c r="AG29" s="170">
        <f>IF(OR(Depths[[#This Row],[From_Dp]]=0,Depths[[#This Row],[To_Dp]]=0),"",DATA[[#This Row],[Length]]/ABS(Depths[[#This Row],[To_Dp]]-Depths[[#This Row],[From_Dp]]))</f>
        <v>9.304347826086957</v>
      </c>
      <c r="AH29" s="32" t="b">
        <f>IF(OR(DATA[[#This Row],[TOTAL]],COUNTIF(Depths[[#This Row],[From]:[Dia]],"*total*")&gt;0),TRUE,FALSE)</f>
        <v>0</v>
      </c>
      <c r="AI29" s="32">
        <f>IF(Depths[[#This Row],[TOTAL]],"",Depths[[#This Row],[COUNT]])</f>
        <v>1</v>
      </c>
      <c r="AJ29" s="33">
        <f>IF(Depths[[#This Row],[TOTAL]],$AJ28+1,IF($AJ28="COUNT",1,$AJ28))</f>
        <v>1</v>
      </c>
      <c r="AK29" s="32">
        <f>ABS(DATA[[#This Row],[Length]]-Depths[[#This Row],[Length]])</f>
        <v>5.0000000000000711E-2</v>
      </c>
    </row>
    <row r="30" spans="1:37" x14ac:dyDescent="0.2">
      <c r="A30" s="133" t="str">
        <f>DATA[[#This Row],[From_ID]]&amp;IF(COUNTA(DATA[[#This Row],[From_ID2]]),"/"&amp;DATA[[#This Row],[From_ID2]],)</f>
        <v>SWMH14/RWP11</v>
      </c>
      <c r="B30" s="16">
        <f>DATA[[#This Row],[From_Depth]]</f>
        <v>0</v>
      </c>
      <c r="C30" s="133" t="str">
        <f>DATA[[#This Row],[To_ID]]</f>
        <v>Aco</v>
      </c>
      <c r="D30" s="16">
        <f>DATA[[#This Row],[To_Depth]]</f>
        <v>0.3</v>
      </c>
      <c r="E30" s="105">
        <f>DATA[[#This Row],[Dia]]</f>
        <v>100</v>
      </c>
      <c r="F30" s="120">
        <f>IF(Depths[[#This Row],[TOTAL]],SUMIF(Depths[FLAG],(Depths[[#This Row],[COUNT]]-1),Depths[Length]),SUM(Depths[[#This Row],[Depth1]:[Depth23]]))</f>
        <v>1</v>
      </c>
      <c r="G3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30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3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3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0" s="26"/>
      <c r="AE30" s="27"/>
      <c r="AF30" s="137">
        <f>DATA[[#This Row],[Bedding]]/1000</f>
        <v>0.1</v>
      </c>
      <c r="AG30" s="170" t="str">
        <f>IF(OR(Depths[[#This Row],[From_Dp]]=0,Depths[[#This Row],[To_Dp]]=0),"",DATA[[#This Row],[Length]]/ABS(Depths[[#This Row],[To_Dp]]-Depths[[#This Row],[From_Dp]]))</f>
        <v/>
      </c>
      <c r="AH30" s="32" t="b">
        <f>IF(OR(DATA[[#This Row],[TOTAL]],COUNTIF(Depths[[#This Row],[From]:[Dia]],"*total*")&gt;0),TRUE,FALSE)</f>
        <v>0</v>
      </c>
      <c r="AI30" s="32">
        <f>IF(Depths[[#This Row],[TOTAL]],"",Depths[[#This Row],[COUNT]])</f>
        <v>1</v>
      </c>
      <c r="AJ30" s="33">
        <f>IF(Depths[[#This Row],[TOTAL]],$AJ29+1,IF($AJ29="COUNT",1,$AJ29))</f>
        <v>1</v>
      </c>
      <c r="AK30" s="32">
        <f>ABS(DATA[[#This Row],[Length]]-Depths[[#This Row],[Length]])</f>
        <v>0</v>
      </c>
    </row>
    <row r="31" spans="1:37" x14ac:dyDescent="0.2">
      <c r="A31" s="133" t="str">
        <f>DATA[[#This Row],[From_ID]]&amp;IF(COUNTA(DATA[[#This Row],[From_ID2]]),"/"&amp;DATA[[#This Row],[From_ID2]],)</f>
        <v>SWMH14</v>
      </c>
      <c r="B31" s="16">
        <f>DATA[[#This Row],[From_Depth]]</f>
        <v>0.875</v>
      </c>
      <c r="C31" s="133" t="str">
        <f>DATA[[#This Row],[To_ID]]</f>
        <v>RWP12</v>
      </c>
      <c r="D31" s="16">
        <f>DATA[[#This Row],[To_Depth]]</f>
        <v>0.3</v>
      </c>
      <c r="E31" s="105">
        <f>DATA[[#This Row],[Dia]]</f>
        <v>100</v>
      </c>
      <c r="F31" s="120">
        <f>IF(Depths[[#This Row],[TOTAL]],SUMIF(Depths[FLAG],(Depths[[#This Row],[COUNT]]-1),Depths[Length]),SUM(Depths[[#This Row],[Depth1]:[Depth23]]))</f>
        <v>3.35</v>
      </c>
      <c r="G3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1.3</v>
      </c>
      <c r="H31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1.4500000000000002</v>
      </c>
      <c r="I31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0.60000000000000009</v>
      </c>
      <c r="J3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1" s="26"/>
      <c r="AE31" s="27"/>
      <c r="AF31" s="137">
        <f>DATA[[#This Row],[Bedding]]/1000</f>
        <v>0.1</v>
      </c>
      <c r="AG31" s="170">
        <f>IF(OR(Depths[[#This Row],[From_Dp]]=0,Depths[[#This Row],[To_Dp]]=0),"",DATA[[#This Row],[Length]]/ABS(Depths[[#This Row],[To_Dp]]-Depths[[#This Row],[From_Dp]]))</f>
        <v>5.8260869565217401</v>
      </c>
      <c r="AH31" s="32" t="b">
        <f>IF(OR(DATA[[#This Row],[TOTAL]],COUNTIF(Depths[[#This Row],[From]:[Dia]],"*total*")&gt;0),TRUE,FALSE)</f>
        <v>0</v>
      </c>
      <c r="AI31" s="32">
        <f>IF(Depths[[#This Row],[TOTAL]],"",Depths[[#This Row],[COUNT]])</f>
        <v>1</v>
      </c>
      <c r="AJ31" s="33">
        <f>IF(Depths[[#This Row],[TOTAL]],$AJ30+1,IF($AJ30="COUNT",1,$AJ30))</f>
        <v>1</v>
      </c>
      <c r="AK31" s="32">
        <f>ABS(DATA[[#This Row],[Length]]-Depths[[#This Row],[Length]])</f>
        <v>0</v>
      </c>
    </row>
    <row r="32" spans="1:37" x14ac:dyDescent="0.2">
      <c r="A32" s="133" t="str">
        <f>DATA[[#This Row],[From_ID]]&amp;IF(COUNTA(DATA[[#This Row],[From_ID2]]),"/"&amp;DATA[[#This Row],[From_ID2]],)</f>
        <v>SWMH14</v>
      </c>
      <c r="B32" s="16">
        <f>DATA[[#This Row],[From_Depth]]</f>
        <v>0.875</v>
      </c>
      <c r="C32" s="133" t="str">
        <f>DATA[[#This Row],[To_ID]]</f>
        <v>RWP13</v>
      </c>
      <c r="D32" s="16">
        <f>DATA[[#This Row],[To_Depth]]</f>
        <v>0.3</v>
      </c>
      <c r="E32" s="105">
        <f>DATA[[#This Row],[Dia]]</f>
        <v>100</v>
      </c>
      <c r="F32" s="120">
        <f>IF(Depths[[#This Row],[TOTAL]],SUMIF(Depths[FLAG],(Depths[[#This Row],[COUNT]]-1),Depths[Length]),SUM(Depths[[#This Row],[Depth1]:[Depth23]]))</f>
        <v>11.2</v>
      </c>
      <c r="G3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4.4000000000000004</v>
      </c>
      <c r="H3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4.8500000000000005</v>
      </c>
      <c r="I32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1.9500000000000002</v>
      </c>
      <c r="J3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2" s="26"/>
      <c r="AE32" s="27"/>
      <c r="AF32" s="137">
        <f>DATA[[#This Row],[Bedding]]/1000</f>
        <v>0.1</v>
      </c>
      <c r="AG32" s="170">
        <f>IF(OR(Depths[[#This Row],[From_Dp]]=0,Depths[[#This Row],[To_Dp]]=0),"",DATA[[#This Row],[Length]]/ABS(Depths[[#This Row],[To_Dp]]-Depths[[#This Row],[From_Dp]]))</f>
        <v>19.478260869565219</v>
      </c>
      <c r="AH32" s="32" t="b">
        <f>IF(OR(DATA[[#This Row],[TOTAL]],COUNTIF(Depths[[#This Row],[From]:[Dia]],"*total*")&gt;0),TRUE,FALSE)</f>
        <v>0</v>
      </c>
      <c r="AI32" s="32">
        <f>IF(Depths[[#This Row],[TOTAL]],"",Depths[[#This Row],[COUNT]])</f>
        <v>1</v>
      </c>
      <c r="AJ32" s="33">
        <f>IF(Depths[[#This Row],[TOTAL]],$AJ31+1,IF($AJ31="COUNT",1,$AJ31))</f>
        <v>1</v>
      </c>
      <c r="AK32" s="32">
        <f>ABS(DATA[[#This Row],[Length]]-Depths[[#This Row],[Length]])</f>
        <v>0</v>
      </c>
    </row>
    <row r="33" spans="1:37" x14ac:dyDescent="0.2">
      <c r="A33" s="133" t="str">
        <f>DATA[[#This Row],[From_ID]]&amp;IF(COUNTA(DATA[[#This Row],[From_ID2]]),"/"&amp;DATA[[#This Row],[From_ID2]],)</f>
        <v>SWMH10</v>
      </c>
      <c r="B33" s="16">
        <f>DATA[[#This Row],[From_Depth]]</f>
        <v>1.25</v>
      </c>
      <c r="C33" s="133" t="str">
        <f>DATA[[#This Row],[To_ID]]</f>
        <v>Aco</v>
      </c>
      <c r="D33" s="16">
        <f>DATA[[#This Row],[To_Depth]]</f>
        <v>0.3</v>
      </c>
      <c r="E33" s="105">
        <f>DATA[[#This Row],[Dia]]</f>
        <v>100</v>
      </c>
      <c r="F33" s="120">
        <f>IF(Depths[[#This Row],[TOTAL]],SUMIF(Depths[FLAG],(Depths[[#This Row],[COUNT]]-1),Depths[Length]),SUM(Depths[[#This Row],[Depth1]:[Depth23]]))</f>
        <v>4.3000000000000007</v>
      </c>
      <c r="G3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3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1.1500000000000001</v>
      </c>
      <c r="I33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1.1500000000000001</v>
      </c>
      <c r="J33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</v>
      </c>
      <c r="K33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3" s="26"/>
      <c r="AE33" s="27"/>
      <c r="AF33" s="137">
        <f>DATA[[#This Row],[Bedding]]/1000</f>
        <v>0.1</v>
      </c>
      <c r="AG33" s="170">
        <f>IF(OR(Depths[[#This Row],[From_Dp]]=0,Depths[[#This Row],[To_Dp]]=0),"",DATA[[#This Row],[Length]]/ABS(Depths[[#This Row],[To_Dp]]-Depths[[#This Row],[From_Dp]]))</f>
        <v>4.5263157894736841</v>
      </c>
      <c r="AH33" s="32" t="b">
        <f>IF(OR(DATA[[#This Row],[TOTAL]],COUNTIF(Depths[[#This Row],[From]:[Dia]],"*total*")&gt;0),TRUE,FALSE)</f>
        <v>0</v>
      </c>
      <c r="AI33" s="32">
        <f>IF(Depths[[#This Row],[TOTAL]],"",Depths[[#This Row],[COUNT]])</f>
        <v>1</v>
      </c>
      <c r="AJ33" s="33">
        <f>IF(Depths[[#This Row],[TOTAL]],$AJ32+1,IF($AJ32="COUNT",1,$AJ32))</f>
        <v>1</v>
      </c>
      <c r="AK33" s="32">
        <f>ABS(DATA[[#This Row],[Length]]-Depths[[#This Row],[Length]])</f>
        <v>8.8817841970012523E-16</v>
      </c>
    </row>
    <row r="34" spans="1:37" x14ac:dyDescent="0.2">
      <c r="A34" s="133" t="str">
        <f>DATA[[#This Row],[From_ID]]&amp;IF(COUNTA(DATA[[#This Row],[From_ID2]]),"/"&amp;DATA[[#This Row],[From_ID2]],)</f>
        <v>SWMH07</v>
      </c>
      <c r="B34" s="16">
        <f>DATA[[#This Row],[From_Depth]]</f>
        <v>0.75</v>
      </c>
      <c r="C34" s="133" t="str">
        <f>DATA[[#This Row],[To_ID]]</f>
        <v>SWMH08</v>
      </c>
      <c r="D34" s="16">
        <f>DATA[[#This Row],[To_Depth]]</f>
        <v>1.7000000000000028</v>
      </c>
      <c r="E34" s="105">
        <f>DATA[[#This Row],[Dia]]</f>
        <v>100</v>
      </c>
      <c r="F34" s="120">
        <f>IF(Depths[[#This Row],[TOTAL]],SUMIF(Depths[FLAG],(Depths[[#This Row],[COUNT]]-1),Depths[Length]),SUM(Depths[[#This Row],[Depth1]:[Depth23]]))</f>
        <v>18.250000000000004</v>
      </c>
      <c r="G34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3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0.5</v>
      </c>
      <c r="I3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4.8000000000000007</v>
      </c>
      <c r="J3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4.8000000000000007</v>
      </c>
      <c r="K3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4.8000000000000007</v>
      </c>
      <c r="L34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3.35</v>
      </c>
      <c r="M3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4" s="26"/>
      <c r="AE34" s="27"/>
      <c r="AF34" s="137">
        <f>DATA[[#This Row],[Bedding]]/1000</f>
        <v>0.1</v>
      </c>
      <c r="AG34" s="170">
        <f>IF(OR(Depths[[#This Row],[From_Dp]]=0,Depths[[#This Row],[To_Dp]]=0),"",DATA[[#This Row],[Length]]/ABS(Depths[[#This Row],[To_Dp]]-Depths[[#This Row],[From_Dp]]))</f>
        <v>19.210526315789416</v>
      </c>
      <c r="AH34" s="32" t="b">
        <f>IF(OR(DATA[[#This Row],[TOTAL]],COUNTIF(Depths[[#This Row],[From]:[Dia]],"*total*")&gt;0),TRUE,FALSE)</f>
        <v>0</v>
      </c>
      <c r="AI34" s="32">
        <f>IF(Depths[[#This Row],[TOTAL]],"",Depths[[#This Row],[COUNT]])</f>
        <v>1</v>
      </c>
      <c r="AJ34" s="33">
        <f>IF(Depths[[#This Row],[TOTAL]],$AJ33+1,IF($AJ33="COUNT",1,$AJ33))</f>
        <v>1</v>
      </c>
      <c r="AK34" s="32">
        <f>ABS(DATA[[#This Row],[Length]]-Depths[[#This Row],[Length]])</f>
        <v>3.5527136788005009E-15</v>
      </c>
    </row>
    <row r="35" spans="1:37" x14ac:dyDescent="0.2">
      <c r="A35" s="133" t="str">
        <f>DATA[[#This Row],[From_ID]]&amp;IF(COUNTA(DATA[[#This Row],[From_ID2]]),"/"&amp;DATA[[#This Row],[From_ID2]],)</f>
        <v>SWMH11</v>
      </c>
      <c r="B35" s="16">
        <f>DATA[[#This Row],[From_Depth]]</f>
        <v>0.85000000000000142</v>
      </c>
      <c r="C35" s="133" t="str">
        <f>DATA[[#This Row],[To_ID]]</f>
        <v>Aco</v>
      </c>
      <c r="D35" s="16">
        <f>DATA[[#This Row],[To_Depth]]</f>
        <v>0.3</v>
      </c>
      <c r="E35" s="105">
        <f>DATA[[#This Row],[Dia]]</f>
        <v>100</v>
      </c>
      <c r="F35" s="120">
        <f>IF(Depths[[#This Row],[TOTAL]],SUMIF(Depths[FLAG],(Depths[[#This Row],[COUNT]]-1),Depths[Length]),SUM(Depths[[#This Row],[Depth1]:[Depth23]]))</f>
        <v>2.95</v>
      </c>
      <c r="G3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1.2000000000000002</v>
      </c>
      <c r="H3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1.35</v>
      </c>
      <c r="I3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0.4</v>
      </c>
      <c r="J3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5" s="26"/>
      <c r="AE35" s="27"/>
      <c r="AF35" s="137">
        <f>DATA[[#This Row],[Bedding]]/1000</f>
        <v>0.1</v>
      </c>
      <c r="AG35" s="170">
        <f>IF(OR(Depths[[#This Row],[From_Dp]]=0,Depths[[#This Row],[To_Dp]]=0),"",DATA[[#This Row],[Length]]/ABS(Depths[[#This Row],[To_Dp]]-Depths[[#This Row],[From_Dp]]))</f>
        <v>5.3636363636363509</v>
      </c>
      <c r="AH35" s="32" t="b">
        <f>IF(OR(DATA[[#This Row],[TOTAL]],COUNTIF(Depths[[#This Row],[From]:[Dia]],"*total*")&gt;0),TRUE,FALSE)</f>
        <v>0</v>
      </c>
      <c r="AI35" s="32">
        <f>IF(Depths[[#This Row],[TOTAL]],"",Depths[[#This Row],[COUNT]])</f>
        <v>1</v>
      </c>
      <c r="AJ35" s="33">
        <f>IF(Depths[[#This Row],[TOTAL]],$AJ34+1,IF($AJ34="COUNT",1,$AJ34))</f>
        <v>1</v>
      </c>
      <c r="AK35" s="32">
        <f>ABS(DATA[[#This Row],[Length]]-Depths[[#This Row],[Length]])</f>
        <v>0</v>
      </c>
    </row>
    <row r="36" spans="1:37" x14ac:dyDescent="0.2">
      <c r="A36" s="133" t="str">
        <f>DATA[[#This Row],[From_ID]]&amp;IF(COUNTA(DATA[[#This Row],[From_ID2]]),"/"&amp;DATA[[#This Row],[From_ID2]],)</f>
        <v>SWMH08</v>
      </c>
      <c r="B36" s="16">
        <f>DATA[[#This Row],[From_Depth]]</f>
        <v>1.7000000000000028</v>
      </c>
      <c r="C36" s="133" t="str">
        <f>DATA[[#This Row],[To_ID]]</f>
        <v>SWMH09</v>
      </c>
      <c r="D36" s="16">
        <f>DATA[[#This Row],[To_Depth]]</f>
        <v>0.78500000000000369</v>
      </c>
      <c r="E36" s="105">
        <f>DATA[[#This Row],[Dia]]</f>
        <v>100</v>
      </c>
      <c r="F36" s="120">
        <f>IF(Depths[[#This Row],[TOTAL]],SUMIF(Depths[FLAG],(Depths[[#This Row],[COUNT]]-1),Depths[Length]),SUM(Depths[[#This Row],[Depth1]:[Depth23]]))</f>
        <v>2.8</v>
      </c>
      <c r="G36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3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36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0.75</v>
      </c>
      <c r="J36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0.75</v>
      </c>
      <c r="K36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0.75</v>
      </c>
      <c r="L36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0.55000000000000004</v>
      </c>
      <c r="M3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6" s="26"/>
      <c r="AE36" s="27"/>
      <c r="AF36" s="137">
        <f>DATA[[#This Row],[Bedding]]/1000</f>
        <v>0.1</v>
      </c>
      <c r="AG36" s="170">
        <f>IF(OR(Depths[[#This Row],[From_Dp]]=0,Depths[[#This Row],[To_Dp]]=0),"",DATA[[#This Row],[Length]]/ABS(Depths[[#This Row],[To_Dp]]-Depths[[#This Row],[From_Dp]]))</f>
        <v>3.0601092896174888</v>
      </c>
      <c r="AH36" s="32" t="b">
        <f>IF(OR(DATA[[#This Row],[TOTAL]],COUNTIF(Depths[[#This Row],[From]:[Dia]],"*total*")&gt;0),TRUE,FALSE)</f>
        <v>0</v>
      </c>
      <c r="AI36" s="32">
        <f>IF(Depths[[#This Row],[TOTAL]],"",Depths[[#This Row],[COUNT]])</f>
        <v>1</v>
      </c>
      <c r="AJ36" s="33">
        <f>IF(Depths[[#This Row],[TOTAL]],$AJ35+1,IF($AJ35="COUNT",1,$AJ35))</f>
        <v>1</v>
      </c>
      <c r="AK36" s="32">
        <f>ABS(DATA[[#This Row],[Length]]-Depths[[#This Row],[Length]])</f>
        <v>0</v>
      </c>
    </row>
    <row r="37" spans="1:37" x14ac:dyDescent="0.2">
      <c r="A37" s="133" t="str">
        <f>DATA[[#This Row],[From_ID]]&amp;IF(COUNTA(DATA[[#This Row],[From_ID2]]),"/"&amp;DATA[[#This Row],[From_ID2]],)</f>
        <v>SWMH08</v>
      </c>
      <c r="B37" s="16">
        <f>DATA[[#This Row],[From_Depth]]</f>
        <v>1.7000000000000028</v>
      </c>
      <c r="C37" s="133" t="str">
        <f>DATA[[#This Row],[To_ID]]</f>
        <v>Aco</v>
      </c>
      <c r="D37" s="16">
        <f>DATA[[#This Row],[To_Depth]]</f>
        <v>0.3</v>
      </c>
      <c r="E37" s="105">
        <f>DATA[[#This Row],[Dia]]</f>
        <v>100</v>
      </c>
      <c r="F37" s="120">
        <f>IF(Depths[[#This Row],[TOTAL]],SUMIF(Depths[FLAG],(Depths[[#This Row],[COUNT]]-1),Depths[Length]),SUM(Depths[[#This Row],[Depth1]:[Depth23]]))</f>
        <v>3.65</v>
      </c>
      <c r="G3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0.60000000000000009</v>
      </c>
      <c r="H3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0.65</v>
      </c>
      <c r="I3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0.65</v>
      </c>
      <c r="J37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0.65</v>
      </c>
      <c r="K37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0.65</v>
      </c>
      <c r="L37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0.45</v>
      </c>
      <c r="M3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7" s="26"/>
      <c r="AE37" s="27"/>
      <c r="AF37" s="137">
        <f>DATA[[#This Row],[Bedding]]/1000</f>
        <v>0.1</v>
      </c>
      <c r="AG37" s="170">
        <f>IF(OR(Depths[[#This Row],[From_Dp]]=0,Depths[[#This Row],[To_Dp]]=0),"",DATA[[#This Row],[Length]]/ABS(Depths[[#This Row],[To_Dp]]-Depths[[#This Row],[From_Dp]]))</f>
        <v>2.6071428571428519</v>
      </c>
      <c r="AH37" s="32" t="b">
        <f>IF(OR(DATA[[#This Row],[TOTAL]],COUNTIF(Depths[[#This Row],[From]:[Dia]],"*total*")&gt;0),TRUE,FALSE)</f>
        <v>0</v>
      </c>
      <c r="AI37" s="32">
        <f>IF(Depths[[#This Row],[TOTAL]],"",Depths[[#This Row],[COUNT]])</f>
        <v>1</v>
      </c>
      <c r="AJ37" s="33">
        <f>IF(Depths[[#This Row],[TOTAL]],$AJ36+1,IF($AJ36="COUNT",1,$AJ36))</f>
        <v>1</v>
      </c>
      <c r="AK37" s="32">
        <f>ABS(DATA[[#This Row],[Length]]-Depths[[#This Row],[Length]])</f>
        <v>0</v>
      </c>
    </row>
    <row r="38" spans="1:37" x14ac:dyDescent="0.2">
      <c r="A38" s="133" t="str">
        <f>DATA[[#This Row],[From_ID]]&amp;IF(COUNTA(DATA[[#This Row],[From_ID2]]),"/"&amp;DATA[[#This Row],[From_ID2]],)</f>
        <v>SWMH08</v>
      </c>
      <c r="B38" s="16">
        <f>DATA[[#This Row],[From_Depth]]</f>
        <v>1.7000000000000028</v>
      </c>
      <c r="C38" s="133" t="str">
        <f>DATA[[#This Row],[To_ID]]</f>
        <v>Aco</v>
      </c>
      <c r="D38" s="16">
        <f>DATA[[#This Row],[To_Depth]]</f>
        <v>0.3</v>
      </c>
      <c r="E38" s="105">
        <f>DATA[[#This Row],[Dia]]</f>
        <v>100</v>
      </c>
      <c r="F38" s="120">
        <f>IF(Depths[[#This Row],[TOTAL]],SUMIF(Depths[FLAG],(Depths[[#This Row],[COUNT]]-1),Depths[Length]),SUM(Depths[[#This Row],[Depth1]:[Depth23]]))</f>
        <v>6.2</v>
      </c>
      <c r="G3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</v>
      </c>
      <c r="H3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1.1000000000000001</v>
      </c>
      <c r="I3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1.1000000000000001</v>
      </c>
      <c r="J38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1.1000000000000001</v>
      </c>
      <c r="K38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1.1000000000000001</v>
      </c>
      <c r="L38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0.8</v>
      </c>
      <c r="M3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8" s="26"/>
      <c r="AE38" s="27"/>
      <c r="AF38" s="137">
        <f>DATA[[#This Row],[Bedding]]/1000</f>
        <v>0.1</v>
      </c>
      <c r="AG38" s="170">
        <f>IF(OR(Depths[[#This Row],[From_Dp]]=0,Depths[[#This Row],[To_Dp]]=0),"",DATA[[#This Row],[Length]]/ABS(Depths[[#This Row],[To_Dp]]-Depths[[#This Row],[From_Dp]]))</f>
        <v>4.4999999999999911</v>
      </c>
      <c r="AH38" s="32" t="b">
        <f>IF(OR(DATA[[#This Row],[TOTAL]],COUNTIF(Depths[[#This Row],[From]:[Dia]],"*total*")&gt;0),TRUE,FALSE)</f>
        <v>0</v>
      </c>
      <c r="AI38" s="32">
        <f>IF(Depths[[#This Row],[TOTAL]],"",Depths[[#This Row],[COUNT]])</f>
        <v>1</v>
      </c>
      <c r="AJ38" s="33">
        <f>IF(Depths[[#This Row],[TOTAL]],$AJ37+1,IF($AJ37="COUNT",1,$AJ37))</f>
        <v>1</v>
      </c>
      <c r="AK38" s="32">
        <f>ABS(DATA[[#This Row],[Length]]-Depths[[#This Row],[Length]])</f>
        <v>9.9999999999999645E-2</v>
      </c>
    </row>
    <row r="39" spans="1:37" x14ac:dyDescent="0.2">
      <c r="A39" s="133" t="str">
        <f>DATA[[#This Row],[From_ID]]&amp;IF(COUNTA(DATA[[#This Row],[From_ID2]]),"/"&amp;DATA[[#This Row],[From_ID2]],)</f>
        <v>SWMH09</v>
      </c>
      <c r="B39" s="16">
        <f>DATA[[#This Row],[From_Depth]]</f>
        <v>0.78500000000000369</v>
      </c>
      <c r="C39" s="133" t="str">
        <f>DATA[[#This Row],[To_ID]]</f>
        <v>SWMH17</v>
      </c>
      <c r="D39" s="16">
        <f>DATA[[#This Row],[To_Depth]]</f>
        <v>0.75</v>
      </c>
      <c r="E39" s="105">
        <f>DATA[[#This Row],[Dia]]</f>
        <v>100</v>
      </c>
      <c r="F39" s="120">
        <f>IF(Depths[[#This Row],[TOTAL]],SUMIF(Depths[FLAG],(Depths[[#This Row],[COUNT]]-1),Depths[Length]),SUM(Depths[[#This Row],[Depth1]:[Depth23]]))</f>
        <v>7.1000000000000014</v>
      </c>
      <c r="G39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3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5.0500000000000007</v>
      </c>
      <c r="I3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2.0500000000000003</v>
      </c>
      <c r="J39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3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3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3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3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3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3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3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3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3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3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3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3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3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3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3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3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3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3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3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39" s="26"/>
      <c r="AE39" s="27"/>
      <c r="AF39" s="137">
        <f>DATA[[#This Row],[Bedding]]/1000</f>
        <v>0.1</v>
      </c>
      <c r="AG39" s="170">
        <f>IF(OR(Depths[[#This Row],[From_Dp]]=0,Depths[[#This Row],[To_Dp]]=0),"",DATA[[#This Row],[Length]]/ABS(Depths[[#This Row],[To_Dp]]-Depths[[#This Row],[From_Dp]]))</f>
        <v>202.85714285712143</v>
      </c>
      <c r="AH39" s="32" t="b">
        <f>IF(OR(DATA[[#This Row],[TOTAL]],COUNTIF(Depths[[#This Row],[From]:[Dia]],"*total*")&gt;0),TRUE,FALSE)</f>
        <v>0</v>
      </c>
      <c r="AI39" s="32">
        <f>IF(Depths[[#This Row],[TOTAL]],"",Depths[[#This Row],[COUNT]])</f>
        <v>1</v>
      </c>
      <c r="AJ39" s="33">
        <f>IF(Depths[[#This Row],[TOTAL]],$AJ38+1,IF($AJ38="COUNT",1,$AJ38))</f>
        <v>1</v>
      </c>
      <c r="AK39" s="32">
        <f>ABS(DATA[[#This Row],[Length]]-Depths[[#This Row],[Length]])</f>
        <v>1.7763568394002505E-15</v>
      </c>
    </row>
    <row r="40" spans="1:37" x14ac:dyDescent="0.2">
      <c r="A40" s="133" t="str">
        <f>DATA[[#This Row],[From_ID]]&amp;IF(COUNTA(DATA[[#This Row],[From_ID2]]),"/"&amp;DATA[[#This Row],[From_ID2]],)</f>
        <v>SWMH17</v>
      </c>
      <c r="B40" s="16">
        <f>DATA[[#This Row],[From_Depth]]</f>
        <v>0.75</v>
      </c>
      <c r="C40" s="133" t="str">
        <f>DATA[[#This Row],[To_ID]]</f>
        <v>RWP14</v>
      </c>
      <c r="D40" s="16">
        <f>DATA[[#This Row],[To_Depth]]</f>
        <v>0.3</v>
      </c>
      <c r="E40" s="105">
        <f>DATA[[#This Row],[Dia]]</f>
        <v>100</v>
      </c>
      <c r="F40" s="120">
        <f>IF(Depths[[#This Row],[TOTAL]],SUMIF(Depths[FLAG],(Depths[[#This Row],[COUNT]]-1),Depths[Length]),SUM(Depths[[#This Row],[Depth1]:[Depth23]]))</f>
        <v>3.4000000000000004</v>
      </c>
      <c r="G4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1.7000000000000002</v>
      </c>
      <c r="H40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1.7000000000000002</v>
      </c>
      <c r="I4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0" s="26"/>
      <c r="AE40" s="27"/>
      <c r="AF40" s="137">
        <f>DATA[[#This Row],[Bedding]]/1000</f>
        <v>0.1</v>
      </c>
      <c r="AG40" s="170">
        <f>IF(OR(Depths[[#This Row],[From_Dp]]=0,Depths[[#This Row],[To_Dp]]=0),"",DATA[[#This Row],[Length]]/ABS(Depths[[#This Row],[To_Dp]]-Depths[[#This Row],[From_Dp]]))</f>
        <v>7.5555555555555554</v>
      </c>
      <c r="AH40" s="32" t="b">
        <f>IF(OR(DATA[[#This Row],[TOTAL]],COUNTIF(Depths[[#This Row],[From]:[Dia]],"*total*")&gt;0),TRUE,FALSE)</f>
        <v>0</v>
      </c>
      <c r="AI40" s="32">
        <f>IF(Depths[[#This Row],[TOTAL]],"",Depths[[#This Row],[COUNT]])</f>
        <v>1</v>
      </c>
      <c r="AJ40" s="33">
        <f>IF(Depths[[#This Row],[TOTAL]],$AJ39+1,IF($AJ39="COUNT",1,$AJ39))</f>
        <v>1</v>
      </c>
      <c r="AK40" s="32">
        <f>ABS(DATA[[#This Row],[Length]]-Depths[[#This Row],[Length]])</f>
        <v>4.4408920985006262E-16</v>
      </c>
    </row>
    <row r="41" spans="1:37" x14ac:dyDescent="0.2">
      <c r="A41" s="133" t="str">
        <f>DATA[[#This Row],[From_ID]]&amp;IF(COUNTA(DATA[[#This Row],[From_ID2]]),"/"&amp;DATA[[#This Row],[From_ID2]],)</f>
        <v>SWMH17/RWP14</v>
      </c>
      <c r="B41" s="16">
        <f>DATA[[#This Row],[From_Depth]]</f>
        <v>0</v>
      </c>
      <c r="C41" s="133" t="str">
        <f>DATA[[#This Row],[To_ID]]</f>
        <v>Aco</v>
      </c>
      <c r="D41" s="16">
        <f>DATA[[#This Row],[To_Depth]]</f>
        <v>0.3</v>
      </c>
      <c r="E41" s="105">
        <f>DATA[[#This Row],[Dia]]</f>
        <v>100</v>
      </c>
      <c r="F41" s="120">
        <f>IF(Depths[[#This Row],[TOTAL]],SUMIF(Depths[FLAG],(Depths[[#This Row],[COUNT]]-1),Depths[Length]),SUM(Depths[[#This Row],[Depth1]:[Depth23]]))</f>
        <v>1.1499999999999999</v>
      </c>
      <c r="G4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1.1499999999999999</v>
      </c>
      <c r="H41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41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1" s="26"/>
      <c r="AE41" s="27"/>
      <c r="AF41" s="137">
        <f>DATA[[#This Row],[Bedding]]/1000</f>
        <v>0.1</v>
      </c>
      <c r="AG41" s="170" t="str">
        <f>IF(OR(Depths[[#This Row],[From_Dp]]=0,Depths[[#This Row],[To_Dp]]=0),"",DATA[[#This Row],[Length]]/ABS(Depths[[#This Row],[To_Dp]]-Depths[[#This Row],[From_Dp]]))</f>
        <v/>
      </c>
      <c r="AH41" s="32" t="b">
        <f>IF(OR(DATA[[#This Row],[TOTAL]],COUNTIF(Depths[[#This Row],[From]:[Dia]],"*total*")&gt;0),TRUE,FALSE)</f>
        <v>0</v>
      </c>
      <c r="AI41" s="32">
        <f>IF(Depths[[#This Row],[TOTAL]],"",Depths[[#This Row],[COUNT]])</f>
        <v>1</v>
      </c>
      <c r="AJ41" s="33">
        <f>IF(Depths[[#This Row],[TOTAL]],$AJ40+1,IF($AJ40="COUNT",1,$AJ40))</f>
        <v>1</v>
      </c>
      <c r="AK41" s="32">
        <f>ABS(DATA[[#This Row],[Length]]-Depths[[#This Row],[Length]])</f>
        <v>0</v>
      </c>
    </row>
    <row r="42" spans="1:37" x14ac:dyDescent="0.2">
      <c r="A42" s="133" t="str">
        <f>DATA[[#This Row],[From_ID]]&amp;IF(COUNTA(DATA[[#This Row],[From_ID2]]),"/"&amp;DATA[[#This Row],[From_ID2]],)</f>
        <v>SWMH17</v>
      </c>
      <c r="B42" s="16">
        <f>DATA[[#This Row],[From_Depth]]</f>
        <v>0.75</v>
      </c>
      <c r="C42" s="133" t="str">
        <f>DATA[[#This Row],[To_ID]]</f>
        <v>RWP15</v>
      </c>
      <c r="D42" s="16">
        <f>DATA[[#This Row],[To_Depth]]</f>
        <v>0.3</v>
      </c>
      <c r="E42" s="105">
        <f>DATA[[#This Row],[Dia]]</f>
        <v>100</v>
      </c>
      <c r="F42" s="120">
        <f>IF(Depths[[#This Row],[TOTAL]],SUMIF(Depths[FLAG],(Depths[[#This Row],[COUNT]]-1),Depths[Length]),SUM(Depths[[#This Row],[Depth1]:[Depth23]]))</f>
        <v>1.2000000000000002</v>
      </c>
      <c r="G4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0.60000000000000009</v>
      </c>
      <c r="H4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0.60000000000000009</v>
      </c>
      <c r="I42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2" s="26"/>
      <c r="AE42" s="27"/>
      <c r="AF42" s="137">
        <f>DATA[[#This Row],[Bedding]]/1000</f>
        <v>0.1</v>
      </c>
      <c r="AG42" s="170">
        <f>IF(OR(Depths[[#This Row],[From_Dp]]=0,Depths[[#This Row],[To_Dp]]=0),"",DATA[[#This Row],[Length]]/ABS(Depths[[#This Row],[To_Dp]]-Depths[[#This Row],[From_Dp]]))</f>
        <v>2.6666666666666665</v>
      </c>
      <c r="AH42" s="32" t="b">
        <f>IF(OR(DATA[[#This Row],[TOTAL]],COUNTIF(Depths[[#This Row],[From]:[Dia]],"*total*")&gt;0),TRUE,FALSE)</f>
        <v>0</v>
      </c>
      <c r="AI42" s="32">
        <f>IF(Depths[[#This Row],[TOTAL]],"",Depths[[#This Row],[COUNT]])</f>
        <v>1</v>
      </c>
      <c r="AJ42" s="33">
        <f>IF(Depths[[#This Row],[TOTAL]],$AJ41+1,IF($AJ41="COUNT",1,$AJ41))</f>
        <v>1</v>
      </c>
      <c r="AK42" s="32">
        <f>ABS(DATA[[#This Row],[Length]]-Depths[[#This Row],[Length]])</f>
        <v>2.2204460492503131E-16</v>
      </c>
    </row>
    <row r="43" spans="1:37" x14ac:dyDescent="0.2">
      <c r="A43" s="133" t="str">
        <f>DATA[[#This Row],[From_ID]]&amp;IF(COUNTA(DATA[[#This Row],[From_ID2]]),"/"&amp;DATA[[#This Row],[From_ID2]],)</f>
        <v>SWMH17</v>
      </c>
      <c r="B43" s="16">
        <f>DATA[[#This Row],[From_Depth]]</f>
        <v>0.75</v>
      </c>
      <c r="C43" s="133" t="str">
        <f>DATA[[#This Row],[To_ID]]</f>
        <v>RWP16</v>
      </c>
      <c r="D43" s="16">
        <f>DATA[[#This Row],[To_Depth]]</f>
        <v>0.3</v>
      </c>
      <c r="E43" s="105">
        <f>DATA[[#This Row],[Dia]]</f>
        <v>100</v>
      </c>
      <c r="F43" s="120">
        <f>IF(Depths[[#This Row],[TOTAL]],SUMIF(Depths[FLAG],(Depths[[#This Row],[COUNT]]-1),Depths[Length]),SUM(Depths[[#This Row],[Depth1]:[Depth23]]))</f>
        <v>10.9</v>
      </c>
      <c r="G4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5.45</v>
      </c>
      <c r="H4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5.45</v>
      </c>
      <c r="I43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3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3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3" s="26"/>
      <c r="AE43" s="27"/>
      <c r="AF43" s="137">
        <f>DATA[[#This Row],[Bedding]]/1000</f>
        <v>0.1</v>
      </c>
      <c r="AG43" s="170">
        <f>IF(OR(Depths[[#This Row],[From_Dp]]=0,Depths[[#This Row],[To_Dp]]=0),"",DATA[[#This Row],[Length]]/ABS(Depths[[#This Row],[To_Dp]]-Depths[[#This Row],[From_Dp]]))</f>
        <v>24.333333333333332</v>
      </c>
      <c r="AH43" s="32" t="b">
        <f>IF(OR(DATA[[#This Row],[TOTAL]],COUNTIF(Depths[[#This Row],[From]:[Dia]],"*total*")&gt;0),TRUE,FALSE)</f>
        <v>0</v>
      </c>
      <c r="AI43" s="32">
        <f>IF(Depths[[#This Row],[TOTAL]],"",Depths[[#This Row],[COUNT]])</f>
        <v>1</v>
      </c>
      <c r="AJ43" s="33">
        <f>IF(Depths[[#This Row],[TOTAL]],$AJ42+1,IF($AJ42="COUNT",1,$AJ42))</f>
        <v>1</v>
      </c>
      <c r="AK43" s="32">
        <f>ABS(DATA[[#This Row],[Length]]-Depths[[#This Row],[Length]])</f>
        <v>4.9999999999998934E-2</v>
      </c>
    </row>
    <row r="44" spans="1:37" x14ac:dyDescent="0.2">
      <c r="A44" s="133" t="str">
        <f>DATA[[#This Row],[From_ID]]&amp;IF(COUNTA(DATA[[#This Row],[From_ID2]]),"/"&amp;DATA[[#This Row],[From_ID2]],)</f>
        <v>SWMH09</v>
      </c>
      <c r="B44" s="16">
        <f>DATA[[#This Row],[From_Depth]]</f>
        <v>0.78500000000000369</v>
      </c>
      <c r="C44" s="133" t="str">
        <f>DATA[[#This Row],[To_ID]]</f>
        <v>SWMH15</v>
      </c>
      <c r="D44" s="16">
        <f>DATA[[#This Row],[To_Depth]]</f>
        <v>0.75</v>
      </c>
      <c r="E44" s="105">
        <f>DATA[[#This Row],[Dia]]</f>
        <v>100</v>
      </c>
      <c r="F44" s="120">
        <f>IF(Depths[[#This Row],[TOTAL]],SUMIF(Depths[FLAG],(Depths[[#This Row],[COUNT]]-1),Depths[Length]),SUM(Depths[[#This Row],[Depth1]:[Depth23]]))</f>
        <v>7.1000000000000014</v>
      </c>
      <c r="G44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4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5.0500000000000007</v>
      </c>
      <c r="I4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2.0500000000000003</v>
      </c>
      <c r="J44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4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4" s="26"/>
      <c r="AE44" s="27"/>
      <c r="AF44" s="137">
        <f>DATA[[#This Row],[Bedding]]/1000</f>
        <v>0.1</v>
      </c>
      <c r="AG44" s="170">
        <f>IF(OR(Depths[[#This Row],[From_Dp]]=0,Depths[[#This Row],[To_Dp]]=0),"",DATA[[#This Row],[Length]]/ABS(Depths[[#This Row],[To_Dp]]-Depths[[#This Row],[From_Dp]]))</f>
        <v>202.85714285712143</v>
      </c>
      <c r="AH44" s="32" t="b">
        <f>IF(OR(DATA[[#This Row],[TOTAL]],COUNTIF(Depths[[#This Row],[From]:[Dia]],"*total*")&gt;0),TRUE,FALSE)</f>
        <v>0</v>
      </c>
      <c r="AI44" s="32">
        <f>IF(Depths[[#This Row],[TOTAL]],"",Depths[[#This Row],[COUNT]])</f>
        <v>1</v>
      </c>
      <c r="AJ44" s="33">
        <f>IF(Depths[[#This Row],[TOTAL]],$AJ43+1,IF($AJ43="COUNT",1,$AJ43))</f>
        <v>1</v>
      </c>
      <c r="AK44" s="32">
        <f>ABS(DATA[[#This Row],[Length]]-Depths[[#This Row],[Length]])</f>
        <v>1.7763568394002505E-15</v>
      </c>
    </row>
    <row r="45" spans="1:37" x14ac:dyDescent="0.2">
      <c r="A45" s="133" t="str">
        <f>DATA[[#This Row],[From_ID]]&amp;IF(COUNTA(DATA[[#This Row],[From_ID2]]),"/"&amp;DATA[[#This Row],[From_ID2]],)</f>
        <v>SWMH15</v>
      </c>
      <c r="B45" s="16">
        <f>DATA[[#This Row],[From_Depth]]</f>
        <v>0.75</v>
      </c>
      <c r="C45" s="133" t="str">
        <f>DATA[[#This Row],[To_ID]]</f>
        <v>RWP17</v>
      </c>
      <c r="D45" s="16">
        <f>DATA[[#This Row],[To_Depth]]</f>
        <v>0.3</v>
      </c>
      <c r="E45" s="105">
        <f>DATA[[#This Row],[Dia]]</f>
        <v>100</v>
      </c>
      <c r="F45" s="120">
        <f>IF(Depths[[#This Row],[TOTAL]],SUMIF(Depths[FLAG],(Depths[[#This Row],[COUNT]]-1),Depths[Length]),SUM(Depths[[#This Row],[Depth1]:[Depth23]]))</f>
        <v>6.2</v>
      </c>
      <c r="G4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3.1</v>
      </c>
      <c r="H4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3.1</v>
      </c>
      <c r="I45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5" s="26"/>
      <c r="AE45" s="27"/>
      <c r="AF45" s="137">
        <f>DATA[[#This Row],[Bedding]]/1000</f>
        <v>0.1</v>
      </c>
      <c r="AG45" s="170">
        <f>IF(OR(Depths[[#This Row],[From_Dp]]=0,Depths[[#This Row],[To_Dp]]=0),"",DATA[[#This Row],[Length]]/ABS(Depths[[#This Row],[To_Dp]]-Depths[[#This Row],[From_Dp]]))</f>
        <v>13.666666666666668</v>
      </c>
      <c r="AH45" s="32" t="b">
        <f>IF(OR(DATA[[#This Row],[TOTAL]],COUNTIF(Depths[[#This Row],[From]:[Dia]],"*total*")&gt;0),TRUE,FALSE)</f>
        <v>0</v>
      </c>
      <c r="AI45" s="32">
        <f>IF(Depths[[#This Row],[TOTAL]],"",Depths[[#This Row],[COUNT]])</f>
        <v>1</v>
      </c>
      <c r="AJ45" s="33">
        <f>IF(Depths[[#This Row],[TOTAL]],$AJ44+1,IF($AJ44="COUNT",1,$AJ44))</f>
        <v>1</v>
      </c>
      <c r="AK45" s="32">
        <f>ABS(DATA[[#This Row],[Length]]-Depths[[#This Row],[Length]])</f>
        <v>4.9999999999999822E-2</v>
      </c>
    </row>
    <row r="46" spans="1:37" x14ac:dyDescent="0.2">
      <c r="A46" s="133" t="str">
        <f>DATA[[#This Row],[From_ID]]&amp;IF(COUNTA(DATA[[#This Row],[From_ID2]]),"/"&amp;DATA[[#This Row],[From_ID2]],)</f>
        <v>SWMH15/RWP17</v>
      </c>
      <c r="B46" s="16">
        <f>DATA[[#This Row],[From_Depth]]</f>
        <v>0</v>
      </c>
      <c r="C46" s="133" t="str">
        <f>DATA[[#This Row],[To_ID]]</f>
        <v>Aco</v>
      </c>
      <c r="D46" s="16">
        <f>DATA[[#This Row],[To_Depth]]</f>
        <v>0.3</v>
      </c>
      <c r="E46" s="105">
        <f>DATA[[#This Row],[Dia]]</f>
        <v>100</v>
      </c>
      <c r="F46" s="120">
        <f>IF(Depths[[#This Row],[TOTAL]],SUMIF(Depths[FLAG],(Depths[[#This Row],[COUNT]]-1),Depths[Length]),SUM(Depths[[#This Row],[Depth1]:[Depth23]]))</f>
        <v>1.65</v>
      </c>
      <c r="G4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1.65</v>
      </c>
      <c r="H46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46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6" s="26"/>
      <c r="AE46" s="27"/>
      <c r="AF46" s="137">
        <f>DATA[[#This Row],[Bedding]]/1000</f>
        <v>0.1</v>
      </c>
      <c r="AG46" s="170" t="str">
        <f>IF(OR(Depths[[#This Row],[From_Dp]]=0,Depths[[#This Row],[To_Dp]]=0),"",DATA[[#This Row],[Length]]/ABS(Depths[[#This Row],[To_Dp]]-Depths[[#This Row],[From_Dp]]))</f>
        <v/>
      </c>
      <c r="AH46" s="32" t="b">
        <f>IF(OR(DATA[[#This Row],[TOTAL]],COUNTIF(Depths[[#This Row],[From]:[Dia]],"*total*")&gt;0),TRUE,FALSE)</f>
        <v>0</v>
      </c>
      <c r="AI46" s="32">
        <f>IF(Depths[[#This Row],[TOTAL]],"",Depths[[#This Row],[COUNT]])</f>
        <v>1</v>
      </c>
      <c r="AJ46" s="33">
        <f>IF(Depths[[#This Row],[TOTAL]],$AJ45+1,IF($AJ45="COUNT",1,$AJ45))</f>
        <v>1</v>
      </c>
      <c r="AK46" s="32">
        <f>ABS(DATA[[#This Row],[Length]]-Depths[[#This Row],[Length]])</f>
        <v>0</v>
      </c>
    </row>
    <row r="47" spans="1:37" x14ac:dyDescent="0.2">
      <c r="A47" s="133" t="str">
        <f>DATA[[#This Row],[From_ID]]&amp;IF(COUNTA(DATA[[#This Row],[From_ID2]]),"/"&amp;DATA[[#This Row],[From_ID2]],)</f>
        <v>SWMH15</v>
      </c>
      <c r="B47" s="16">
        <f>DATA[[#This Row],[From_Depth]]</f>
        <v>0.75</v>
      </c>
      <c r="C47" s="133" t="str">
        <f>DATA[[#This Row],[To_ID]]</f>
        <v>RWP18</v>
      </c>
      <c r="D47" s="16">
        <f>DATA[[#This Row],[To_Depth]]</f>
        <v>0.3</v>
      </c>
      <c r="E47" s="105">
        <f>DATA[[#This Row],[Dia]]</f>
        <v>100</v>
      </c>
      <c r="F47" s="120">
        <f>IF(Depths[[#This Row],[TOTAL]],SUMIF(Depths[FLAG],(Depths[[#This Row],[COUNT]]-1),Depths[Length]),SUM(Depths[[#This Row],[Depth1]:[Depth23]]))</f>
        <v>2.4000000000000004</v>
      </c>
      <c r="G4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1.2000000000000002</v>
      </c>
      <c r="H4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1.2000000000000002</v>
      </c>
      <c r="I47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7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7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7" s="26"/>
      <c r="AE47" s="27"/>
      <c r="AF47" s="137">
        <f>DATA[[#This Row],[Bedding]]/1000</f>
        <v>0.1</v>
      </c>
      <c r="AG47" s="170">
        <f>IF(OR(Depths[[#This Row],[From_Dp]]=0,Depths[[#This Row],[To_Dp]]=0),"",DATA[[#This Row],[Length]]/ABS(Depths[[#This Row],[To_Dp]]-Depths[[#This Row],[From_Dp]]))</f>
        <v>5.333333333333333</v>
      </c>
      <c r="AH47" s="32" t="b">
        <f>IF(OR(DATA[[#This Row],[TOTAL]],COUNTIF(Depths[[#This Row],[From]:[Dia]],"*total*")&gt;0),TRUE,FALSE)</f>
        <v>0</v>
      </c>
      <c r="AI47" s="32">
        <f>IF(Depths[[#This Row],[TOTAL]],"",Depths[[#This Row],[COUNT]])</f>
        <v>1</v>
      </c>
      <c r="AJ47" s="33">
        <f>IF(Depths[[#This Row],[TOTAL]],$AJ46+1,IF($AJ46="COUNT",1,$AJ46))</f>
        <v>1</v>
      </c>
      <c r="AK47" s="32">
        <f>ABS(DATA[[#This Row],[Length]]-Depths[[#This Row],[Length]])</f>
        <v>4.4408920985006262E-16</v>
      </c>
    </row>
    <row r="48" spans="1:37" x14ac:dyDescent="0.2">
      <c r="A48" s="133" t="str">
        <f>DATA[[#This Row],[From_ID]]&amp;IF(COUNTA(DATA[[#This Row],[From_ID2]]),"/"&amp;DATA[[#This Row],[From_ID2]],)</f>
        <v>SWMH15</v>
      </c>
      <c r="B48" s="16">
        <f>DATA[[#This Row],[From_Depth]]</f>
        <v>0.75</v>
      </c>
      <c r="C48" s="133" t="str">
        <f>DATA[[#This Row],[To_ID]]</f>
        <v>RWP19</v>
      </c>
      <c r="D48" s="16">
        <f>DATA[[#This Row],[To_Depth]]</f>
        <v>0.3</v>
      </c>
      <c r="E48" s="105">
        <f>DATA[[#This Row],[Dia]]</f>
        <v>100</v>
      </c>
      <c r="F48" s="120">
        <f>IF(Depths[[#This Row],[TOTAL]],SUMIF(Depths[FLAG],(Depths[[#This Row],[COUNT]]-1),Depths[Length]),SUM(Depths[[#This Row],[Depth1]:[Depth23]]))</f>
        <v>11.3</v>
      </c>
      <c r="G4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5.65</v>
      </c>
      <c r="H4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5.65</v>
      </c>
      <c r="I48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48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4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4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4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4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4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4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4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4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4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4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4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4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4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4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4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4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4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4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4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48" s="26"/>
      <c r="AE48" s="27"/>
      <c r="AF48" s="137">
        <f>DATA[[#This Row],[Bedding]]/1000</f>
        <v>0.1</v>
      </c>
      <c r="AG48" s="170">
        <f>IF(OR(Depths[[#This Row],[From_Dp]]=0,Depths[[#This Row],[To_Dp]]=0),"",DATA[[#This Row],[Length]]/ABS(Depths[[#This Row],[To_Dp]]-Depths[[#This Row],[From_Dp]]))</f>
        <v>25.222222222222221</v>
      </c>
      <c r="AH48" s="32" t="b">
        <f>IF(OR(DATA[[#This Row],[TOTAL]],COUNTIF(Depths[[#This Row],[From]:[Dia]],"*total*")&gt;0),TRUE,FALSE)</f>
        <v>0</v>
      </c>
      <c r="AI48" s="32">
        <f>IF(Depths[[#This Row],[TOTAL]],"",Depths[[#This Row],[COUNT]])</f>
        <v>1</v>
      </c>
      <c r="AJ48" s="33">
        <f>IF(Depths[[#This Row],[TOTAL]],$AJ47+1,IF($AJ47="COUNT",1,$AJ47))</f>
        <v>1</v>
      </c>
      <c r="AK48" s="32">
        <f>ABS(DATA[[#This Row],[Length]]-Depths[[#This Row],[Length]])</f>
        <v>4.9999999999998934E-2</v>
      </c>
    </row>
    <row r="49" spans="1:37" x14ac:dyDescent="0.2">
      <c r="A49" s="133" t="str">
        <f>DATA[[#This Row],[From_ID]]&amp;IF(COUNTA(DATA[[#This Row],[From_ID2]]),"/"&amp;DATA[[#This Row],[From_ID2]],)</f>
        <v>TOTAL</v>
      </c>
      <c r="B49" s="16">
        <f>DATA[[#This Row],[From_Depth]]</f>
        <v>0</v>
      </c>
      <c r="C49" s="133">
        <f>DATA[[#This Row],[To_ID]]</f>
        <v>0</v>
      </c>
      <c r="D49" s="16">
        <f>DATA[[#This Row],[To_Depth]]</f>
        <v>0</v>
      </c>
      <c r="E49" s="105">
        <f>DATA[[#This Row],[Dia]]</f>
        <v>100</v>
      </c>
      <c r="F49" s="120">
        <f>IF(Depths[[#This Row],[TOTAL]],SUMIF(Depths[FLAG],(Depths[[#This Row],[COUNT]]-1),Depths[Length]),SUM(Depths[[#This Row],[Depth1]:[Depth23]]))</f>
        <v>269.05</v>
      </c>
      <c r="G49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65.150000000000006</v>
      </c>
      <c r="H4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74.90000000000002</v>
      </c>
      <c r="I4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52.300000000000004</v>
      </c>
      <c r="J49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43.05</v>
      </c>
      <c r="K49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27.700000000000003</v>
      </c>
      <c r="L49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5.95</v>
      </c>
      <c r="M49" s="5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</v>
      </c>
      <c r="N49" s="5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</v>
      </c>
      <c r="O49" s="5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</v>
      </c>
      <c r="P49" s="5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</v>
      </c>
      <c r="Q49" s="5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</v>
      </c>
      <c r="R49" s="5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>0</v>
      </c>
      <c r="S49" s="5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>0</v>
      </c>
      <c r="T49" s="5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>0</v>
      </c>
      <c r="U49" s="5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>0</v>
      </c>
      <c r="V49" s="5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>0</v>
      </c>
      <c r="W49" s="5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>0</v>
      </c>
      <c r="X49" s="5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>0</v>
      </c>
      <c r="Y49" s="5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>0</v>
      </c>
      <c r="Z49" s="5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>0</v>
      </c>
      <c r="AA49" s="5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>0</v>
      </c>
      <c r="AB49" s="5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>0</v>
      </c>
      <c r="AC49" s="5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>0</v>
      </c>
      <c r="AD49" s="26"/>
      <c r="AE49" s="27"/>
      <c r="AF49" s="137">
        <f>DATA[[#This Row],[Bedding]]/1000</f>
        <v>0.1</v>
      </c>
      <c r="AG49" s="170" t="str">
        <f>IF(OR(Depths[[#This Row],[From_Dp]]=0,Depths[[#This Row],[To_Dp]]=0),"",DATA[[#This Row],[Length]]/ABS(Depths[[#This Row],[To_Dp]]-Depths[[#This Row],[From_Dp]]))</f>
        <v/>
      </c>
      <c r="AH49" s="32" t="b">
        <f>IF(OR(DATA[[#This Row],[TOTAL]],COUNTIF(Depths[[#This Row],[From]:[Dia]],"*total*")&gt;0),TRUE,FALSE)</f>
        <v>1</v>
      </c>
      <c r="AI49" s="32" t="str">
        <f>IF(Depths[[#This Row],[TOTAL]],"",Depths[[#This Row],[COUNT]])</f>
        <v/>
      </c>
      <c r="AJ49" s="33">
        <f>IF(Depths[[#This Row],[TOTAL]],$AJ48+1,IF($AJ48="COUNT",1,$AJ48))</f>
        <v>2</v>
      </c>
      <c r="AK49" s="32">
        <f>ABS(DATA[[#This Row],[Length]]-Depths[[#This Row],[Length]])</f>
        <v>269.05</v>
      </c>
    </row>
    <row r="50" spans="1:37" x14ac:dyDescent="0.2">
      <c r="A50" s="133" t="str">
        <f>DATA[[#This Row],[From_ID]]&amp;IF(COUNTA(DATA[[#This Row],[From_ID2]]),"/"&amp;DATA[[#This Row],[From_ID2]],)</f>
        <v/>
      </c>
      <c r="B50" s="16">
        <f>DATA[[#This Row],[From_Depth]]</f>
        <v>0</v>
      </c>
      <c r="C50" s="133">
        <f>DATA[[#This Row],[To_ID]]</f>
        <v>0</v>
      </c>
      <c r="D50" s="16">
        <f>DATA[[#This Row],[To_Depth]]</f>
        <v>0</v>
      </c>
      <c r="E50" s="105">
        <f>DATA[[#This Row],[Dia]]</f>
        <v>0</v>
      </c>
      <c r="F50" s="120">
        <f>IF(Depths[[#This Row],[TOTAL]],SUMIF(Depths[FLAG],(Depths[[#This Row],[COUNT]]-1),Depths[Length]),SUM(Depths[[#This Row],[Depth1]:[Depth23]]))</f>
        <v>0</v>
      </c>
      <c r="G50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50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0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0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0" s="26"/>
      <c r="AE50" s="27"/>
      <c r="AF50" s="137">
        <f>DATA[[#This Row],[Bedding]]/1000</f>
        <v>0.1</v>
      </c>
      <c r="AG50" s="170" t="str">
        <f>IF(OR(Depths[[#This Row],[From_Dp]]=0,Depths[[#This Row],[To_Dp]]=0),"",DATA[[#This Row],[Length]]/ABS(Depths[[#This Row],[To_Dp]]-Depths[[#This Row],[From_Dp]]))</f>
        <v/>
      </c>
      <c r="AH50" s="32" t="b">
        <f>IF(OR(DATA[[#This Row],[TOTAL]],COUNTIF(Depths[[#This Row],[From]:[Dia]],"*total*")&gt;0),TRUE,FALSE)</f>
        <v>0</v>
      </c>
      <c r="AI50" s="32">
        <f>IF(Depths[[#This Row],[TOTAL]],"",Depths[[#This Row],[COUNT]])</f>
        <v>2</v>
      </c>
      <c r="AJ50" s="33">
        <f>IF(Depths[[#This Row],[TOTAL]],$AJ49+1,IF($AJ49="COUNT",1,$AJ49))</f>
        <v>2</v>
      </c>
      <c r="AK50" s="32">
        <f>ABS(DATA[[#This Row],[Length]]-Depths[[#This Row],[Length]])</f>
        <v>0</v>
      </c>
    </row>
    <row r="51" spans="1:37" x14ac:dyDescent="0.2">
      <c r="A51" s="138" t="str">
        <f>DATA[[#This Row],[From_ID]]&amp;IF(COUNTA(DATA[[#This Row],[From_ID2]]),"/"&amp;DATA[[#This Row],[From_ID2]],)</f>
        <v>Road Gullies</v>
      </c>
      <c r="B51" s="16">
        <f>DATA[[#This Row],[From_Depth]]</f>
        <v>0</v>
      </c>
      <c r="C51" s="133">
        <f>DATA[[#This Row],[To_ID]]</f>
        <v>0</v>
      </c>
      <c r="D51" s="16">
        <f>DATA[[#This Row],[To_Depth]]</f>
        <v>0</v>
      </c>
      <c r="E51" s="105">
        <f>DATA[[#This Row],[Dia]]</f>
        <v>0</v>
      </c>
      <c r="F51" s="120">
        <f>IF(Depths[[#This Row],[TOTAL]],SUMIF(Depths[FLAG],(Depths[[#This Row],[COUNT]]-1),Depths[Length]),SUM(Depths[[#This Row],[Depth1]:[Depth23]]))</f>
        <v>0</v>
      </c>
      <c r="G51" s="25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51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1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1" s="26"/>
      <c r="AE51" s="27"/>
      <c r="AF51" s="137">
        <f>DATA[[#This Row],[Bedding]]/1000</f>
        <v>0.1</v>
      </c>
      <c r="AG51" s="170" t="str">
        <f>IF(OR(Depths[[#This Row],[From_Dp]]=0,Depths[[#This Row],[To_Dp]]=0),"",DATA[[#This Row],[Length]]/ABS(Depths[[#This Row],[To_Dp]]-Depths[[#This Row],[From_Dp]]))</f>
        <v/>
      </c>
      <c r="AH51" s="32" t="b">
        <f>IF(OR(DATA[[#This Row],[TOTAL]],COUNTIF(Depths[[#This Row],[From]:[Dia]],"*total*")&gt;0),TRUE,FALSE)</f>
        <v>0</v>
      </c>
      <c r="AI51" s="32">
        <f>IF(Depths[[#This Row],[TOTAL]],"",Depths[[#This Row],[COUNT]])</f>
        <v>2</v>
      </c>
      <c r="AJ51" s="33">
        <f>IF(Depths[[#This Row],[TOTAL]],$AJ50+1,IF($AJ50="COUNT",1,$AJ50))</f>
        <v>2</v>
      </c>
      <c r="AK51" s="32">
        <f>ABS(DATA[[#This Row],[Length]]-Depths[[#This Row],[Length]])</f>
        <v>0</v>
      </c>
    </row>
    <row r="52" spans="1:37" x14ac:dyDescent="0.2">
      <c r="A52" s="133" t="str">
        <f>DATA[[#This Row],[From_ID]]&amp;IF(COUNTA(DATA[[#This Row],[From_ID2]]),"/"&amp;DATA[[#This Row],[From_ID2]],)</f>
        <v>SWMH04</v>
      </c>
      <c r="B52" s="16">
        <f>DATA[[#This Row],[From_Depth]]</f>
        <v>1.5499999999999972</v>
      </c>
      <c r="C52" s="133" t="str">
        <f>DATA[[#This Row],[To_ID]]</f>
        <v>G1</v>
      </c>
      <c r="D52" s="16">
        <f>DATA[[#This Row],[To_Depth]]</f>
        <v>0.3</v>
      </c>
      <c r="E52" s="105">
        <f>DATA[[#This Row],[Dia]]</f>
        <v>100</v>
      </c>
      <c r="F52" s="120">
        <f>IF(Depths[[#This Row],[TOTAL]],SUMIF(Depths[FLAG],(Depths[[#This Row],[COUNT]]-1),Depths[Length]),SUM(Depths[[#This Row],[Depth1]:[Depth23]]))</f>
        <v>9</v>
      </c>
      <c r="G5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1.6</v>
      </c>
      <c r="H5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1.8</v>
      </c>
      <c r="I52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1.8</v>
      </c>
      <c r="J52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1.8</v>
      </c>
      <c r="K52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1.8</v>
      </c>
      <c r="L52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0.2</v>
      </c>
      <c r="M5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2" s="26"/>
      <c r="AE52" s="27"/>
      <c r="AF52" s="137">
        <f>DATA[[#This Row],[Bedding]]/1000</f>
        <v>0.1</v>
      </c>
      <c r="AG52" s="170">
        <f>IF(OR(Depths[[#This Row],[From_Dp]]=0,Depths[[#This Row],[To_Dp]]=0),"",DATA[[#This Row],[Length]]/ABS(Depths[[#This Row],[To_Dp]]-Depths[[#This Row],[From_Dp]]))</f>
        <v>7.2000000000000171</v>
      </c>
      <c r="AH52" s="32" t="b">
        <f>IF(OR(DATA[[#This Row],[TOTAL]],COUNTIF(Depths[[#This Row],[From]:[Dia]],"*total*")&gt;0),TRUE,FALSE)</f>
        <v>0</v>
      </c>
      <c r="AI52" s="32">
        <f>IF(Depths[[#This Row],[TOTAL]],"",Depths[[#This Row],[COUNT]])</f>
        <v>2</v>
      </c>
      <c r="AJ52" s="33">
        <f>IF(Depths[[#This Row],[TOTAL]],$AJ51+1,IF($AJ51="COUNT",1,$AJ51))</f>
        <v>2</v>
      </c>
      <c r="AK52" s="32">
        <f>ABS(DATA[[#This Row],[Length]]-Depths[[#This Row],[Length]])</f>
        <v>0</v>
      </c>
    </row>
    <row r="53" spans="1:37" x14ac:dyDescent="0.2">
      <c r="A53" s="133" t="str">
        <f>DATA[[#This Row],[From_ID]]&amp;IF(COUNTA(DATA[[#This Row],[From_ID2]]),"/"&amp;DATA[[#This Row],[From_ID2]],)</f>
        <v>SWMH03/SWMH04</v>
      </c>
      <c r="B53" s="16">
        <f>DATA[[#This Row],[From_Depth]]</f>
        <v>0</v>
      </c>
      <c r="C53" s="133" t="str">
        <f>DATA[[#This Row],[To_ID]]</f>
        <v>G2</v>
      </c>
      <c r="D53" s="16">
        <f>DATA[[#This Row],[To_Depth]]</f>
        <v>0.3</v>
      </c>
      <c r="E53" s="105">
        <f>DATA[[#This Row],[Dia]]</f>
        <v>100</v>
      </c>
      <c r="F53" s="120">
        <f>IF(Depths[[#This Row],[TOTAL]],SUMIF(Depths[FLAG],(Depths[[#This Row],[COUNT]]-1),Depths[Length]),SUM(Depths[[#This Row],[Depth1]:[Depth23]]))</f>
        <v>4</v>
      </c>
      <c r="G5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4</v>
      </c>
      <c r="H53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3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3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3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3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3" s="26"/>
      <c r="AE53" s="27"/>
      <c r="AF53" s="137">
        <f>DATA[[#This Row],[Bedding]]/1000</f>
        <v>0.1</v>
      </c>
      <c r="AG53" s="170" t="str">
        <f>IF(OR(Depths[[#This Row],[From_Dp]]=0,Depths[[#This Row],[To_Dp]]=0),"",DATA[[#This Row],[Length]]/ABS(Depths[[#This Row],[To_Dp]]-Depths[[#This Row],[From_Dp]]))</f>
        <v/>
      </c>
      <c r="AH53" s="32" t="b">
        <f>IF(OR(DATA[[#This Row],[TOTAL]],COUNTIF(Depths[[#This Row],[From]:[Dia]],"*total*")&gt;0),TRUE,FALSE)</f>
        <v>0</v>
      </c>
      <c r="AI53" s="32">
        <f>IF(Depths[[#This Row],[TOTAL]],"",Depths[[#This Row],[COUNT]])</f>
        <v>2</v>
      </c>
      <c r="AJ53" s="33">
        <f>IF(Depths[[#This Row],[TOTAL]],$AJ52+1,IF($AJ52="COUNT",1,$AJ52))</f>
        <v>2</v>
      </c>
      <c r="AK53" s="32">
        <f>ABS(DATA[[#This Row],[Length]]-Depths[[#This Row],[Length]])</f>
        <v>0</v>
      </c>
    </row>
    <row r="54" spans="1:37" x14ac:dyDescent="0.2">
      <c r="A54" s="133" t="str">
        <f>DATA[[#This Row],[From_ID]]&amp;IF(COUNTA(DATA[[#This Row],[From_ID2]]),"/"&amp;DATA[[#This Row],[From_ID2]],)</f>
        <v>SWMH03</v>
      </c>
      <c r="B54" s="16">
        <f>DATA[[#This Row],[From_Depth]]</f>
        <v>0.60000000000000142</v>
      </c>
      <c r="C54" s="133" t="str">
        <f>DATA[[#This Row],[To_ID]]</f>
        <v>G3</v>
      </c>
      <c r="D54" s="16">
        <f>DATA[[#This Row],[To_Depth]]</f>
        <v>0.3</v>
      </c>
      <c r="E54" s="105">
        <f>DATA[[#This Row],[Dia]]</f>
        <v>100</v>
      </c>
      <c r="F54" s="120">
        <f>IF(Depths[[#This Row],[TOTAL]],SUMIF(Depths[FLAG],(Depths[[#This Row],[COUNT]]-1),Depths[Length]),SUM(Depths[[#This Row],[Depth1]:[Depth23]]))</f>
        <v>6.8000000000000007</v>
      </c>
      <c r="G54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5.1000000000000005</v>
      </c>
      <c r="H5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1.7000000000000002</v>
      </c>
      <c r="I54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4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4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4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4" s="26"/>
      <c r="AE54" s="27"/>
      <c r="AF54" s="137">
        <f>DATA[[#This Row],[Bedding]]/1000</f>
        <v>0.1</v>
      </c>
      <c r="AG54" s="170">
        <f>IF(OR(Depths[[#This Row],[From_Dp]]=0,Depths[[#This Row],[To_Dp]]=0),"",DATA[[#This Row],[Length]]/ABS(Depths[[#This Row],[To_Dp]]-Depths[[#This Row],[From_Dp]]))</f>
        <v>22.666666666666558</v>
      </c>
      <c r="AH54" s="32" t="b">
        <f>IF(OR(DATA[[#This Row],[TOTAL]],COUNTIF(Depths[[#This Row],[From]:[Dia]],"*total*")&gt;0),TRUE,FALSE)</f>
        <v>0</v>
      </c>
      <c r="AI54" s="32">
        <f>IF(Depths[[#This Row],[TOTAL]],"",Depths[[#This Row],[COUNT]])</f>
        <v>2</v>
      </c>
      <c r="AJ54" s="33">
        <f>IF(Depths[[#This Row],[TOTAL]],$AJ53+1,IF($AJ53="COUNT",1,$AJ53))</f>
        <v>2</v>
      </c>
      <c r="AK54" s="32">
        <f>ABS(DATA[[#This Row],[Length]]-Depths[[#This Row],[Length]])</f>
        <v>8.8817841970012523E-16</v>
      </c>
    </row>
    <row r="55" spans="1:37" x14ac:dyDescent="0.2">
      <c r="A55" s="133" t="str">
        <f>DATA[[#This Row],[From_ID]]&amp;IF(COUNTA(DATA[[#This Row],[From_ID2]]),"/"&amp;DATA[[#This Row],[From_ID2]],)</f>
        <v>SWMH02</v>
      </c>
      <c r="B55" s="16">
        <f>DATA[[#This Row],[From_Depth]]</f>
        <v>0.11499999999999488</v>
      </c>
      <c r="C55" s="133" t="str">
        <f>DATA[[#This Row],[To_ID]]</f>
        <v>G4</v>
      </c>
      <c r="D55" s="16">
        <f>DATA[[#This Row],[To_Depth]]</f>
        <v>0.3</v>
      </c>
      <c r="E55" s="105">
        <f>DATA[[#This Row],[Dia]]</f>
        <v>100</v>
      </c>
      <c r="F55" s="120">
        <f>IF(Depths[[#This Row],[TOTAL]],SUMIF(Depths[FLAG],(Depths[[#This Row],[COUNT]]-1),Depths[Length]),SUM(Depths[[#This Row],[Depth1]:[Depth23]]))</f>
        <v>3.5</v>
      </c>
      <c r="G5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3.5</v>
      </c>
      <c r="H55" s="5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55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55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5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5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5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5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5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5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5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5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5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5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5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5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5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5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5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5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5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5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5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5" s="26"/>
      <c r="AE55" s="27"/>
      <c r="AF55" s="137">
        <f>DATA[[#This Row],[Bedding]]/1000</f>
        <v>0.1</v>
      </c>
      <c r="AG55" s="170">
        <f>IF(OR(Depths[[#This Row],[From_Dp]]=0,Depths[[#This Row],[To_Dp]]=0),"",DATA[[#This Row],[Length]]/ABS(Depths[[#This Row],[To_Dp]]-Depths[[#This Row],[From_Dp]]))</f>
        <v>18.918918918918397</v>
      </c>
      <c r="AH55" s="32" t="b">
        <f>IF(OR(DATA[[#This Row],[TOTAL]],COUNTIF(Depths[[#This Row],[From]:[Dia]],"*total*")&gt;0),TRUE,FALSE)</f>
        <v>0</v>
      </c>
      <c r="AI55" s="32">
        <f>IF(Depths[[#This Row],[TOTAL]],"",Depths[[#This Row],[COUNT]])</f>
        <v>2</v>
      </c>
      <c r="AJ55" s="33">
        <f>IF(Depths[[#This Row],[TOTAL]],$AJ54+1,IF($AJ54="COUNT",1,$AJ54))</f>
        <v>2</v>
      </c>
      <c r="AK55" s="32">
        <f>ABS(DATA[[#This Row],[Length]]-Depths[[#This Row],[Length]])</f>
        <v>0</v>
      </c>
    </row>
    <row r="56" spans="1:37" x14ac:dyDescent="0.2">
      <c r="A56" s="133" t="str">
        <f>DATA[[#This Row],[From_ID]]&amp;IF(COUNTA(DATA[[#This Row],[From_ID2]]),"/"&amp;DATA[[#This Row],[From_ID2]],)</f>
        <v>SWMH05</v>
      </c>
      <c r="B56" s="16">
        <f>DATA[[#This Row],[From_Depth]]</f>
        <v>0.85000000000000142</v>
      </c>
      <c r="C56" s="133" t="str">
        <f>DATA[[#This Row],[To_ID]]</f>
        <v>G5</v>
      </c>
      <c r="D56" s="16">
        <f>DATA[[#This Row],[To_Depth]]</f>
        <v>0.3</v>
      </c>
      <c r="E56" s="105">
        <f>DATA[[#This Row],[Dia]]</f>
        <v>100</v>
      </c>
      <c r="F56" s="120">
        <f>IF(Depths[[#This Row],[TOTAL]],SUMIF(Depths[FLAG],(Depths[[#This Row],[COUNT]]-1),Depths[Length]),SUM(Depths[[#This Row],[Depth1]:[Depth23]]))</f>
        <v>3.5500000000000003</v>
      </c>
      <c r="G56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1.4500000000000002</v>
      </c>
      <c r="H56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1.6</v>
      </c>
      <c r="I56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0.5</v>
      </c>
      <c r="J56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6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6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6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6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6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6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6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6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6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6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6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6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6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6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6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6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6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6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6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6" s="26"/>
      <c r="AE56" s="27"/>
      <c r="AF56" s="137">
        <f>DATA[[#This Row],[Bedding]]/1000</f>
        <v>0.1</v>
      </c>
      <c r="AG56" s="170">
        <f>IF(OR(Depths[[#This Row],[From_Dp]]=0,Depths[[#This Row],[To_Dp]]=0),"",DATA[[#This Row],[Length]]/ABS(Depths[[#This Row],[To_Dp]]-Depths[[#This Row],[From_Dp]]))</f>
        <v>6.3636363636363473</v>
      </c>
      <c r="AH56" s="32" t="b">
        <f>IF(OR(DATA[[#This Row],[TOTAL]],COUNTIF(Depths[[#This Row],[From]:[Dia]],"*total*")&gt;0),TRUE,FALSE)</f>
        <v>0</v>
      </c>
      <c r="AI56" s="32">
        <f>IF(Depths[[#This Row],[TOTAL]],"",Depths[[#This Row],[COUNT]])</f>
        <v>2</v>
      </c>
      <c r="AJ56" s="33">
        <f>IF(Depths[[#This Row],[TOTAL]],$AJ55+1,IF($AJ55="COUNT",1,$AJ55))</f>
        <v>2</v>
      </c>
      <c r="AK56" s="32">
        <f>ABS(DATA[[#This Row],[Length]]-Depths[[#This Row],[Length]])</f>
        <v>5.0000000000000266E-2</v>
      </c>
    </row>
    <row r="57" spans="1:37" x14ac:dyDescent="0.2">
      <c r="A57" s="133" t="str">
        <f>DATA[[#This Row],[From_ID]]&amp;IF(COUNTA(DATA[[#This Row],[From_ID2]]),"/"&amp;DATA[[#This Row],[From_ID2]],)</f>
        <v>SWMH05</v>
      </c>
      <c r="B57" s="16">
        <f>DATA[[#This Row],[From_Depth]]</f>
        <v>0.85000000000000142</v>
      </c>
      <c r="C57" s="133" t="str">
        <f>DATA[[#This Row],[To_ID]]</f>
        <v>G6</v>
      </c>
      <c r="D57" s="16">
        <f>DATA[[#This Row],[To_Depth]]</f>
        <v>0.3</v>
      </c>
      <c r="E57" s="105">
        <f>DATA[[#This Row],[Dia]]</f>
        <v>100</v>
      </c>
      <c r="F57" s="120">
        <f>IF(Depths[[#This Row],[TOTAL]],SUMIF(Depths[FLAG],(Depths[[#This Row],[COUNT]]-1),Depths[Length]),SUM(Depths[[#This Row],[Depth1]:[Depth23]]))</f>
        <v>3.0500000000000003</v>
      </c>
      <c r="G57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1.25</v>
      </c>
      <c r="H57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1.4000000000000001</v>
      </c>
      <c r="I57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0.4</v>
      </c>
      <c r="J57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7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7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7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7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7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7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7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7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7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7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7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7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7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7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7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7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7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7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7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7" s="26"/>
      <c r="AE57" s="27"/>
      <c r="AF57" s="137">
        <f>DATA[[#This Row],[Bedding]]/1000</f>
        <v>0.1</v>
      </c>
      <c r="AG57" s="170">
        <f>IF(OR(Depths[[#This Row],[From_Dp]]=0,Depths[[#This Row],[To_Dp]]=0),"",DATA[[#This Row],[Length]]/ABS(Depths[[#This Row],[To_Dp]]-Depths[[#This Row],[From_Dp]]))</f>
        <v>5.6363636363636225</v>
      </c>
      <c r="AH57" s="32" t="b">
        <f>IF(OR(DATA[[#This Row],[TOTAL]],COUNTIF(Depths[[#This Row],[From]:[Dia]],"*total*")&gt;0),TRUE,FALSE)</f>
        <v>0</v>
      </c>
      <c r="AI57" s="32">
        <f>IF(Depths[[#This Row],[TOTAL]],"",Depths[[#This Row],[COUNT]])</f>
        <v>2</v>
      </c>
      <c r="AJ57" s="33">
        <f>IF(Depths[[#This Row],[TOTAL]],$AJ56+1,IF($AJ56="COUNT",1,$AJ56))</f>
        <v>2</v>
      </c>
      <c r="AK57" s="32">
        <f>ABS(DATA[[#This Row],[Length]]-Depths[[#This Row],[Length]])</f>
        <v>4.9999999999999822E-2</v>
      </c>
    </row>
    <row r="58" spans="1:37" x14ac:dyDescent="0.2">
      <c r="A58" s="133" t="str">
        <f>DATA[[#This Row],[From_ID]]&amp;IF(COUNTA(DATA[[#This Row],[From_ID2]]),"/"&amp;DATA[[#This Row],[From_ID2]],)</f>
        <v>SWMH05</v>
      </c>
      <c r="B58" s="16">
        <f>DATA[[#This Row],[From_Depth]]</f>
        <v>0.85000000000000142</v>
      </c>
      <c r="C58" s="133" t="str">
        <f>DATA[[#This Row],[To_ID]]</f>
        <v>G7</v>
      </c>
      <c r="D58" s="16">
        <f>DATA[[#This Row],[To_Depth]]</f>
        <v>0.3</v>
      </c>
      <c r="E58" s="105">
        <f>DATA[[#This Row],[Dia]]</f>
        <v>100</v>
      </c>
      <c r="F58" s="120">
        <f>IF(Depths[[#This Row],[TOTAL]],SUMIF(Depths[FLAG],(Depths[[#This Row],[COUNT]]-1),Depths[Length]),SUM(Depths[[#This Row],[Depth1]:[Depth23]]))</f>
        <v>8.5</v>
      </c>
      <c r="G58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3.5</v>
      </c>
      <c r="H58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3.85</v>
      </c>
      <c r="I58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1.1500000000000001</v>
      </c>
      <c r="J58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58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8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8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8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8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8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8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8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8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8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8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8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8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8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8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8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8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8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8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8" s="26"/>
      <c r="AE58" s="27"/>
      <c r="AF58" s="137">
        <f>DATA[[#This Row],[Bedding]]/1000</f>
        <v>0.1</v>
      </c>
      <c r="AG58" s="170">
        <f>IF(OR(Depths[[#This Row],[From_Dp]]=0,Depths[[#This Row],[To_Dp]]=0),"",DATA[[#This Row],[Length]]/ABS(Depths[[#This Row],[To_Dp]]-Depths[[#This Row],[From_Dp]]))</f>
        <v>15.454545454545416</v>
      </c>
      <c r="AH58" s="32" t="b">
        <f>IF(OR(DATA[[#This Row],[TOTAL]],COUNTIF(Depths[[#This Row],[From]:[Dia]],"*total*")&gt;0),TRUE,FALSE)</f>
        <v>0</v>
      </c>
      <c r="AI58" s="32">
        <f>IF(Depths[[#This Row],[TOTAL]],"",Depths[[#This Row],[COUNT]])</f>
        <v>2</v>
      </c>
      <c r="AJ58" s="33">
        <f>IF(Depths[[#This Row],[TOTAL]],$AJ57+1,IF($AJ57="COUNT",1,$AJ57))</f>
        <v>2</v>
      </c>
      <c r="AK58" s="32">
        <f>ABS(DATA[[#This Row],[Length]]-Depths[[#This Row],[Length]])</f>
        <v>0</v>
      </c>
    </row>
    <row r="59" spans="1:37" x14ac:dyDescent="0.2">
      <c r="A59" s="133" t="str">
        <f>DATA[[#This Row],[From_ID]]&amp;IF(COUNTA(DATA[[#This Row],[From_ID2]]),"/"&amp;DATA[[#This Row],[From_ID2]],)</f>
        <v>SWMH06</v>
      </c>
      <c r="B59" s="16">
        <f>DATA[[#This Row],[From_Depth]]</f>
        <v>1.1599999999999966</v>
      </c>
      <c r="C59" s="133" t="str">
        <f>DATA[[#This Row],[To_ID]]</f>
        <v>G8</v>
      </c>
      <c r="D59" s="16">
        <f>DATA[[#This Row],[To_Depth]]</f>
        <v>0.3</v>
      </c>
      <c r="E59" s="105">
        <f>DATA[[#This Row],[Dia]]</f>
        <v>100</v>
      </c>
      <c r="F59" s="120">
        <f>IF(Depths[[#This Row],[TOTAL]],SUMIF(Depths[FLAG],(Depths[[#This Row],[COUNT]]-1),Depths[Length]),SUM(Depths[[#This Row],[Depth1]:[Depth23]]))</f>
        <v>4.7</v>
      </c>
      <c r="G59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1.25</v>
      </c>
      <c r="H59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1.35</v>
      </c>
      <c r="I59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1.35</v>
      </c>
      <c r="J59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0.75</v>
      </c>
      <c r="K59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59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59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59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59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59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59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59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59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59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59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59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59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59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59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59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59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59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59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59" s="26"/>
      <c r="AE59" s="27"/>
      <c r="AF59" s="137">
        <f>DATA[[#This Row],[Bedding]]/1000</f>
        <v>0.1</v>
      </c>
      <c r="AG59" s="170">
        <f>IF(OR(Depths[[#This Row],[From_Dp]]=0,Depths[[#This Row],[To_Dp]]=0),"",DATA[[#This Row],[Length]]/ABS(Depths[[#This Row],[To_Dp]]-Depths[[#This Row],[From_Dp]]))</f>
        <v>5.4651162790697896</v>
      </c>
      <c r="AH59" s="32" t="b">
        <f>IF(OR(DATA[[#This Row],[TOTAL]],COUNTIF(Depths[[#This Row],[From]:[Dia]],"*total*")&gt;0),TRUE,FALSE)</f>
        <v>0</v>
      </c>
      <c r="AI59" s="32">
        <f>IF(Depths[[#This Row],[TOTAL]],"",Depths[[#This Row],[COUNT]])</f>
        <v>2</v>
      </c>
      <c r="AJ59" s="33">
        <f>IF(Depths[[#This Row],[TOTAL]],$AJ58+1,IF($AJ58="COUNT",1,$AJ58))</f>
        <v>2</v>
      </c>
      <c r="AK59" s="32">
        <f>ABS(DATA[[#This Row],[Length]]-Depths[[#This Row],[Length]])</f>
        <v>0</v>
      </c>
    </row>
    <row r="60" spans="1:37" x14ac:dyDescent="0.2">
      <c r="A60" s="133" t="str">
        <f>DATA[[#This Row],[From_ID]]&amp;IF(COUNTA(DATA[[#This Row],[From_ID2]]),"/"&amp;DATA[[#This Row],[From_ID2]],)</f>
        <v>SWMH06</v>
      </c>
      <c r="B60" s="16">
        <f>DATA[[#This Row],[From_Depth]]</f>
        <v>1.1599999999999966</v>
      </c>
      <c r="C60" s="133" t="str">
        <f>DATA[[#This Row],[To_ID]]</f>
        <v>G9</v>
      </c>
      <c r="D60" s="16">
        <f>DATA[[#This Row],[To_Depth]]</f>
        <v>0.3</v>
      </c>
      <c r="E60" s="105">
        <f>DATA[[#This Row],[Dia]]</f>
        <v>100</v>
      </c>
      <c r="F60" s="120">
        <f>IF(Depths[[#This Row],[TOTAL]],SUMIF(Depths[FLAG],(Depths[[#This Row],[COUNT]]-1),Depths[Length]),SUM(Depths[[#This Row],[Depth1]:[Depth23]]))</f>
        <v>8.4</v>
      </c>
      <c r="G60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2.2000000000000002</v>
      </c>
      <c r="H60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2.4500000000000002</v>
      </c>
      <c r="I60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2.4500000000000002</v>
      </c>
      <c r="J60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1.3</v>
      </c>
      <c r="K60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0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0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0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0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0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0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0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0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0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0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0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0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0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0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0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0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0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0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0" s="26"/>
      <c r="AE60" s="27"/>
      <c r="AF60" s="137">
        <f>DATA[[#This Row],[Bedding]]/1000</f>
        <v>0.1</v>
      </c>
      <c r="AG60" s="170">
        <f>IF(OR(Depths[[#This Row],[From_Dp]]=0,Depths[[#This Row],[To_Dp]]=0),"",DATA[[#This Row],[Length]]/ABS(Depths[[#This Row],[To_Dp]]-Depths[[#This Row],[From_Dp]]))</f>
        <v>9.7674418604651567</v>
      </c>
      <c r="AH60" s="32" t="b">
        <f>IF(OR(DATA[[#This Row],[TOTAL]],COUNTIF(Depths[[#This Row],[From]:[Dia]],"*total*")&gt;0),TRUE,FALSE)</f>
        <v>0</v>
      </c>
      <c r="AI60" s="32">
        <f>IF(Depths[[#This Row],[TOTAL]],"",Depths[[#This Row],[COUNT]])</f>
        <v>2</v>
      </c>
      <c r="AJ60" s="33">
        <f>IF(Depths[[#This Row],[TOTAL]],$AJ59+1,IF($AJ59="COUNT",1,$AJ59))</f>
        <v>2</v>
      </c>
      <c r="AK60" s="32">
        <f>ABS(DATA[[#This Row],[Length]]-Depths[[#This Row],[Length]])</f>
        <v>0</v>
      </c>
    </row>
    <row r="61" spans="1:37" x14ac:dyDescent="0.2">
      <c r="A61" s="133" t="str">
        <f>DATA[[#This Row],[From_ID]]&amp;IF(COUNTA(DATA[[#This Row],[From_ID2]]),"/"&amp;DATA[[#This Row],[From_ID2]],)</f>
        <v>SWMH07</v>
      </c>
      <c r="B61" s="16">
        <f>DATA[[#This Row],[From_Depth]]</f>
        <v>0.75</v>
      </c>
      <c r="C61" s="133" t="str">
        <f>DATA[[#This Row],[To_ID]]</f>
        <v>G10</v>
      </c>
      <c r="D61" s="16">
        <f>DATA[[#This Row],[To_Depth]]</f>
        <v>0.3</v>
      </c>
      <c r="E61" s="105">
        <f>DATA[[#This Row],[Dia]]</f>
        <v>100</v>
      </c>
      <c r="F61" s="120">
        <f>IF(Depths[[#This Row],[TOTAL]],SUMIF(Depths[FLAG],(Depths[[#This Row],[COUNT]]-1),Depths[Length]),SUM(Depths[[#This Row],[Depth1]:[Depth23]]))</f>
        <v>5.4</v>
      </c>
      <c r="G61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2.7</v>
      </c>
      <c r="H61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2.7</v>
      </c>
      <c r="I61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1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1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1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1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1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1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1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1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1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1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1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1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1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1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1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1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1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1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1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1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1" s="26"/>
      <c r="AE61" s="27"/>
      <c r="AF61" s="137">
        <f>DATA[[#This Row],[Bedding]]/1000</f>
        <v>0.1</v>
      </c>
      <c r="AG61" s="170">
        <f>IF(OR(Depths[[#This Row],[From_Dp]]=0,Depths[[#This Row],[To_Dp]]=0),"",DATA[[#This Row],[Length]]/ABS(Depths[[#This Row],[To_Dp]]-Depths[[#This Row],[From_Dp]]))</f>
        <v>12.111111111111111</v>
      </c>
      <c r="AH61" s="32" t="b">
        <f>IF(OR(DATA[[#This Row],[TOTAL]],COUNTIF(Depths[[#This Row],[From]:[Dia]],"*total*")&gt;0),TRUE,FALSE)</f>
        <v>0</v>
      </c>
      <c r="AI61" s="32">
        <f>IF(Depths[[#This Row],[TOTAL]],"",Depths[[#This Row],[COUNT]])</f>
        <v>2</v>
      </c>
      <c r="AJ61" s="33">
        <f>IF(Depths[[#This Row],[TOTAL]],$AJ60+1,IF($AJ60="COUNT",1,$AJ60))</f>
        <v>2</v>
      </c>
      <c r="AK61" s="32">
        <f>ABS(DATA[[#This Row],[Length]]-Depths[[#This Row],[Length]])</f>
        <v>4.9999999999999822E-2</v>
      </c>
    </row>
    <row r="62" spans="1:37" x14ac:dyDescent="0.2">
      <c r="A62" s="133" t="str">
        <f>DATA[[#This Row],[From_ID]]&amp;IF(COUNTA(DATA[[#This Row],[From_ID2]]),"/"&amp;DATA[[#This Row],[From_ID2]],)</f>
        <v>SWMH07</v>
      </c>
      <c r="B62" s="16">
        <f>DATA[[#This Row],[From_Depth]]</f>
        <v>0.75</v>
      </c>
      <c r="C62" s="133" t="str">
        <f>DATA[[#This Row],[To_ID]]</f>
        <v>G11</v>
      </c>
      <c r="D62" s="16">
        <f>DATA[[#This Row],[To_Depth]]</f>
        <v>0.3</v>
      </c>
      <c r="E62" s="105">
        <f>DATA[[#This Row],[Dia]]</f>
        <v>100</v>
      </c>
      <c r="F62" s="120">
        <f>IF(Depths[[#This Row],[TOTAL]],SUMIF(Depths[FLAG],(Depths[[#This Row],[COUNT]]-1),Depths[Length]),SUM(Depths[[#This Row],[Depth1]:[Depth23]]))</f>
        <v>4.3</v>
      </c>
      <c r="G62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2.15</v>
      </c>
      <c r="H62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2.15</v>
      </c>
      <c r="I62" s="5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2" s="5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2" s="5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2" s="5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2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2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2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2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2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2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2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2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2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2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2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2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2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2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2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2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2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2" s="26"/>
      <c r="AE62" s="27"/>
      <c r="AF62" s="137">
        <f>DATA[[#This Row],[Bedding]]/1000</f>
        <v>0.1</v>
      </c>
      <c r="AG62" s="170">
        <f>IF(OR(Depths[[#This Row],[From_Dp]]=0,Depths[[#This Row],[To_Dp]]=0),"",DATA[[#This Row],[Length]]/ABS(Depths[[#This Row],[To_Dp]]-Depths[[#This Row],[From_Dp]]))</f>
        <v>9.5555555555555554</v>
      </c>
      <c r="AH62" s="32" t="b">
        <f>IF(OR(DATA[[#This Row],[TOTAL]],COUNTIF(Depths[[#This Row],[From]:[Dia]],"*total*")&gt;0),TRUE,FALSE)</f>
        <v>0</v>
      </c>
      <c r="AI62" s="32">
        <f>IF(Depths[[#This Row],[TOTAL]],"",Depths[[#This Row],[COUNT]])</f>
        <v>2</v>
      </c>
      <c r="AJ62" s="33">
        <f>IF(Depths[[#This Row],[TOTAL]],$AJ61+1,IF($AJ61="COUNT",1,$AJ61))</f>
        <v>2</v>
      </c>
      <c r="AK62" s="32">
        <f>ABS(DATA[[#This Row],[Length]]-Depths[[#This Row],[Length]])</f>
        <v>0</v>
      </c>
    </row>
    <row r="63" spans="1:37" x14ac:dyDescent="0.2">
      <c r="A63" s="133" t="str">
        <f>DATA[[#This Row],[From_ID]]&amp;IF(COUNTA(DATA[[#This Row],[From_ID2]]),"/"&amp;DATA[[#This Row],[From_ID2]],)</f>
        <v>SWMH08</v>
      </c>
      <c r="B63" s="16">
        <f>DATA[[#This Row],[From_Depth]]</f>
        <v>1.7000000000000028</v>
      </c>
      <c r="C63" s="133" t="str">
        <f>DATA[[#This Row],[To_ID]]</f>
        <v>G12</v>
      </c>
      <c r="D63" s="16">
        <f>DATA[[#This Row],[To_Depth]]</f>
        <v>0.3</v>
      </c>
      <c r="E63" s="105">
        <f>DATA[[#This Row],[Dia]]</f>
        <v>100</v>
      </c>
      <c r="F63" s="120">
        <f>IF(Depths[[#This Row],[TOTAL]],SUMIF(Depths[FLAG],(Depths[[#This Row],[COUNT]]-1),Depths[Length]),SUM(Depths[[#This Row],[Depth1]:[Depth23]]))</f>
        <v>4.1500000000000004</v>
      </c>
      <c r="G63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0.65</v>
      </c>
      <c r="H63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0.75</v>
      </c>
      <c r="I63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0.75</v>
      </c>
      <c r="J63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0.75</v>
      </c>
      <c r="K63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0.75</v>
      </c>
      <c r="L63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</v>
      </c>
      <c r="M63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3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3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3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3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3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3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3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3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3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3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3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3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3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3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3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3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3" s="26"/>
      <c r="AE63" s="27"/>
      <c r="AF63" s="137">
        <f>DATA[[#This Row],[Bedding]]/1000</f>
        <v>0.1</v>
      </c>
      <c r="AG63" s="170">
        <f>IF(OR(Depths[[#This Row],[From_Dp]]=0,Depths[[#This Row],[To_Dp]]=0),"",DATA[[#This Row],[Length]]/ABS(Depths[[#This Row],[To_Dp]]-Depths[[#This Row],[From_Dp]]))</f>
        <v>2.9285714285714226</v>
      </c>
      <c r="AH63" s="32" t="b">
        <f>IF(OR(DATA[[#This Row],[TOTAL]],COUNTIF(Depths[[#This Row],[From]:[Dia]],"*total*")&gt;0),TRUE,FALSE)</f>
        <v>0</v>
      </c>
      <c r="AI63" s="32">
        <f>IF(Depths[[#This Row],[TOTAL]],"",Depths[[#This Row],[COUNT]])</f>
        <v>2</v>
      </c>
      <c r="AJ63" s="33">
        <f>IF(Depths[[#This Row],[TOTAL]],$AJ62+1,IF($AJ62="COUNT",1,$AJ62))</f>
        <v>2</v>
      </c>
      <c r="AK63" s="32">
        <f>ABS(DATA[[#This Row],[Length]]-Depths[[#This Row],[Length]])</f>
        <v>5.0000000000000711E-2</v>
      </c>
    </row>
    <row r="64" spans="1:37" x14ac:dyDescent="0.2">
      <c r="A64" s="133" t="str">
        <f>DATA[[#This Row],[From_ID]]&amp;IF(COUNTA(DATA[[#This Row],[From_ID2]]),"/"&amp;DATA[[#This Row],[From_ID2]],)</f>
        <v>SWMH08</v>
      </c>
      <c r="B64" s="16">
        <f>DATA[[#This Row],[From_Depth]]</f>
        <v>1.7000000000000028</v>
      </c>
      <c r="C64" s="133" t="str">
        <f>DATA[[#This Row],[To_ID]]</f>
        <v>G13</v>
      </c>
      <c r="D64" s="16">
        <f>DATA[[#This Row],[To_Depth]]</f>
        <v>0.3</v>
      </c>
      <c r="E64" s="105">
        <f>DATA[[#This Row],[Dia]]</f>
        <v>100</v>
      </c>
      <c r="F64" s="120">
        <f>IF(Depths[[#This Row],[TOTAL]],SUMIF(Depths[FLAG],(Depths[[#This Row],[COUNT]]-1),Depths[Length]),SUM(Depths[[#This Row],[Depth1]:[Depth23]]))</f>
        <v>9.8000000000000007</v>
      </c>
      <c r="G64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1.55</v>
      </c>
      <c r="H64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1.75</v>
      </c>
      <c r="I64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1.75</v>
      </c>
      <c r="J64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1.75</v>
      </c>
      <c r="K64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1.75</v>
      </c>
      <c r="L64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1.25</v>
      </c>
      <c r="M64" s="5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4" s="5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4" s="5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4" s="5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4" s="5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4" s="5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4" s="5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4" s="5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4" s="5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4" s="5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4" s="5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4" s="5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4" s="5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4" s="5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4" s="5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4" s="5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4" s="5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4" s="26"/>
      <c r="AE64" s="27"/>
      <c r="AF64" s="137">
        <f>DATA[[#This Row],[Bedding]]/1000</f>
        <v>0.1</v>
      </c>
      <c r="AG64" s="170">
        <f>IF(OR(Depths[[#This Row],[From_Dp]]=0,Depths[[#This Row],[To_Dp]]=0),"",DATA[[#This Row],[Length]]/ABS(Depths[[#This Row],[To_Dp]]-Depths[[#This Row],[From_Dp]]))</f>
        <v>6.9999999999999867</v>
      </c>
      <c r="AH64" s="32" t="b">
        <f>IF(OR(DATA[[#This Row],[TOTAL]],COUNTIF(Depths[[#This Row],[From]:[Dia]],"*total*")&gt;0),TRUE,FALSE)</f>
        <v>0</v>
      </c>
      <c r="AI64" s="32">
        <f>IF(Depths[[#This Row],[TOTAL]],"",Depths[[#This Row],[COUNT]])</f>
        <v>2</v>
      </c>
      <c r="AJ64" s="33">
        <f>IF(Depths[[#This Row],[TOTAL]],$AJ63+1,IF($AJ63="COUNT",1,$AJ63))</f>
        <v>2</v>
      </c>
      <c r="AK64" s="32">
        <f>ABS(DATA[[#This Row],[Length]]-Depths[[#This Row],[Length]])</f>
        <v>0</v>
      </c>
    </row>
    <row r="65" spans="1:37" x14ac:dyDescent="0.2">
      <c r="A65" s="133" t="str">
        <f>DATA[[#This Row],[From_ID]]&amp;IF(COUNTA(DATA[[#This Row],[From_ID2]]),"/"&amp;DATA[[#This Row],[From_ID2]],)</f>
        <v>TOTAL</v>
      </c>
      <c r="B65" s="16">
        <f>DATA[[#This Row],[From_Depth]]</f>
        <v>0</v>
      </c>
      <c r="C65" s="133">
        <f>DATA[[#This Row],[To_ID]]</f>
        <v>0</v>
      </c>
      <c r="D65" s="16">
        <f>DATA[[#This Row],[To_Depth]]</f>
        <v>0</v>
      </c>
      <c r="E65" s="105">
        <f>DATA[[#This Row],[Dia]]</f>
        <v>0</v>
      </c>
      <c r="F65" s="120">
        <f>IF(Depths[[#This Row],[TOTAL]],SUMIF(Depths[FLAG],(Depths[[#This Row],[COUNT]]-1),Depths[Length]),SUM(Depths[[#This Row],[Depth1]:[Depth23]]))</f>
        <v>75.150000000000006</v>
      </c>
      <c r="G65" s="25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30.899999999999995</v>
      </c>
      <c r="H65" s="5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21.499999999999996</v>
      </c>
      <c r="I65" s="5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10.149999999999999</v>
      </c>
      <c r="J65" s="5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6.35</v>
      </c>
      <c r="K65" s="5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4.3</v>
      </c>
      <c r="L65" s="5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1.95</v>
      </c>
      <c r="M65" s="5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</v>
      </c>
      <c r="N65" s="5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</v>
      </c>
      <c r="O65" s="5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</v>
      </c>
      <c r="P65" s="5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</v>
      </c>
      <c r="Q65" s="5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</v>
      </c>
      <c r="R65" s="5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>0</v>
      </c>
      <c r="S65" s="5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>0</v>
      </c>
      <c r="T65" s="5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>0</v>
      </c>
      <c r="U65" s="5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>0</v>
      </c>
      <c r="V65" s="5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>0</v>
      </c>
      <c r="W65" s="5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>0</v>
      </c>
      <c r="X65" s="5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>0</v>
      </c>
      <c r="Y65" s="5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>0</v>
      </c>
      <c r="Z65" s="5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>0</v>
      </c>
      <c r="AA65" s="5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>0</v>
      </c>
      <c r="AB65" s="5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>0</v>
      </c>
      <c r="AC65" s="5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>0</v>
      </c>
      <c r="AD65" s="26"/>
      <c r="AE65" s="27"/>
      <c r="AF65" s="137">
        <f>DATA[[#This Row],[Bedding]]/1000</f>
        <v>0.1</v>
      </c>
      <c r="AG65" s="170" t="str">
        <f>IF(OR(Depths[[#This Row],[From_Dp]]=0,Depths[[#This Row],[To_Dp]]=0),"",DATA[[#This Row],[Length]]/ABS(Depths[[#This Row],[To_Dp]]-Depths[[#This Row],[From_Dp]]))</f>
        <v/>
      </c>
      <c r="AH65" s="32" t="b">
        <f>IF(OR(DATA[[#This Row],[TOTAL]],COUNTIF(Depths[[#This Row],[From]:[Dia]],"*total*")&gt;0),TRUE,FALSE)</f>
        <v>1</v>
      </c>
      <c r="AI65" s="32" t="str">
        <f>IF(Depths[[#This Row],[TOTAL]],"",Depths[[#This Row],[COUNT]])</f>
        <v/>
      </c>
      <c r="AJ65" s="33">
        <f>IF(Depths[[#This Row],[TOTAL]],$AJ64+1,IF($AJ64="COUNT",1,$AJ64))</f>
        <v>3</v>
      </c>
      <c r="AK65" s="32">
        <f>ABS(DATA[[#This Row],[Length]]-Depths[[#This Row],[Length]])</f>
        <v>75.150000000000006</v>
      </c>
    </row>
    <row r="66" spans="1:37" x14ac:dyDescent="0.2">
      <c r="A66" s="139" t="str">
        <f>DATA[[#This Row],[From_ID]]&amp;IF(COUNTA(DATA[[#This Row],[From_ID2]]),"/"&amp;DATA[[#This Row],[From_ID2]],)</f>
        <v/>
      </c>
      <c r="B66" s="140">
        <f>DATA[[#This Row],[From_Depth]]</f>
        <v>0</v>
      </c>
      <c r="C66" s="139">
        <f>DATA[[#This Row],[To_ID]]</f>
        <v>0</v>
      </c>
      <c r="D66" s="140">
        <f>DATA[[#This Row],[To_Depth]]</f>
        <v>0</v>
      </c>
      <c r="E66" s="141">
        <f>DATA[[#This Row],[Dia]]</f>
        <v>0</v>
      </c>
      <c r="F66" s="142">
        <f>IF(Depths[[#This Row],[TOTAL]],SUMIF(Depths[FLAG],(Depths[[#This Row],[COUNT]]-1),Depths[Length]),SUM(Depths[[#This Row],[Depth1]:[Depth23]]))</f>
        <v>0</v>
      </c>
      <c r="G66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6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66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6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6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6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6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6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6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6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6" s="144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6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6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6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6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6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6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6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6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6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6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6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6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6" s="145"/>
      <c r="AE66" s="146"/>
      <c r="AF66" s="147">
        <f>DATA[[#This Row],[Bedding]]/1000</f>
        <v>0.1</v>
      </c>
      <c r="AG66" s="172" t="str">
        <f>IF(OR(Depths[[#This Row],[From_Dp]]=0,Depths[[#This Row],[To_Dp]]=0),"",DATA[[#This Row],[Length]]/ABS(Depths[[#This Row],[To_Dp]]-Depths[[#This Row],[From_Dp]]))</f>
        <v/>
      </c>
      <c r="AH66" s="148" t="b">
        <f>IF(OR(DATA[[#This Row],[TOTAL]],COUNTIF(Depths[[#This Row],[From]:[Dia]],"*total*")&gt;0),TRUE,FALSE)</f>
        <v>0</v>
      </c>
      <c r="AI66" s="148">
        <f>IF(Depths[[#This Row],[TOTAL]],"",Depths[[#This Row],[COUNT]])</f>
        <v>3</v>
      </c>
      <c r="AJ66" s="149">
        <f>IF(Depths[[#This Row],[TOTAL]],$AJ65+1,IF($AJ65="COUNT",1,$AJ65))</f>
        <v>3</v>
      </c>
      <c r="AK66" s="148">
        <f>ABS(DATA[[#This Row],[Length]]-Depths[[#This Row],[Length]])</f>
        <v>0</v>
      </c>
    </row>
    <row r="67" spans="1:37" x14ac:dyDescent="0.2">
      <c r="A67" s="139" t="str">
        <f>DATA[[#This Row],[From_ID]]&amp;IF(COUNTA(DATA[[#This Row],[From_ID2]]),"/"&amp;DATA[[#This Row],[From_ID2]],)</f>
        <v>Foul Water</v>
      </c>
      <c r="B67" s="140">
        <f>DATA[[#This Row],[From_Depth]]</f>
        <v>0</v>
      </c>
      <c r="C67" s="139">
        <f>DATA[[#This Row],[To_ID]]</f>
        <v>0</v>
      </c>
      <c r="D67" s="140">
        <f>DATA[[#This Row],[To_Depth]]</f>
        <v>0</v>
      </c>
      <c r="E67" s="141">
        <f>DATA[[#This Row],[Dia]]</f>
        <v>0</v>
      </c>
      <c r="F67" s="142">
        <f>IF(Depths[[#This Row],[TOTAL]],SUMIF(Depths[FLAG],(Depths[[#This Row],[COUNT]]-1),Depths[Length]),SUM(Depths[[#This Row],[Depth1]:[Depth23]]))</f>
        <v>0</v>
      </c>
      <c r="G67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7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67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67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67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67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67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67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67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67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67" s="144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67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7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7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7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7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7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7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7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7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7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7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7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7" s="145"/>
      <c r="AE67" s="146"/>
      <c r="AF67" s="147">
        <f>DATA[[#This Row],[Bedding]]/1000</f>
        <v>0.1</v>
      </c>
      <c r="AG67" s="172" t="str">
        <f>IF(OR(Depths[[#This Row],[From_Dp]]=0,Depths[[#This Row],[To_Dp]]=0),"",DATA[[#This Row],[Length]]/ABS(Depths[[#This Row],[To_Dp]]-Depths[[#This Row],[From_Dp]]))</f>
        <v/>
      </c>
      <c r="AH67" s="148" t="b">
        <f>IF(OR(DATA[[#This Row],[TOTAL]],COUNTIF(Depths[[#This Row],[From]:[Dia]],"*total*")&gt;0),TRUE,FALSE)</f>
        <v>0</v>
      </c>
      <c r="AI67" s="148">
        <f>IF(Depths[[#This Row],[TOTAL]],"",Depths[[#This Row],[COUNT]])</f>
        <v>3</v>
      </c>
      <c r="AJ67" s="149">
        <f>IF(Depths[[#This Row],[TOTAL]],$AJ66+1,IF($AJ66="COUNT",1,$AJ66))</f>
        <v>3</v>
      </c>
      <c r="AK67" s="148">
        <f>ABS(DATA[[#This Row],[Length]]-Depths[[#This Row],[Length]])</f>
        <v>0</v>
      </c>
    </row>
    <row r="68" spans="1:37" x14ac:dyDescent="0.2">
      <c r="A68" s="139" t="str">
        <f>DATA[[#This Row],[From_ID]]&amp;IF(COUNTA(DATA[[#This Row],[From_ID2]]),"/"&amp;DATA[[#This Row],[From_ID2]],)</f>
        <v>FWMH04</v>
      </c>
      <c r="B68" s="140">
        <f>DATA[[#This Row],[From_Depth]]</f>
        <v>0.70000000000000284</v>
      </c>
      <c r="C68" s="139" t="str">
        <f>DATA[[#This Row],[To_ID]]</f>
        <v>FWMH09</v>
      </c>
      <c r="D68" s="140">
        <f>DATA[[#This Row],[To_Depth]]</f>
        <v>2.9650000000000034</v>
      </c>
      <c r="E68" s="141">
        <f>DATA[[#This Row],[Dia]]</f>
        <v>100</v>
      </c>
      <c r="F68" s="142">
        <f>IF(Depths[[#This Row],[TOTAL]],SUMIF(Depths[FLAG],(Depths[[#This Row],[COUNT]]-1),Depths[Length]),SUM(Depths[[#This Row],[Depth1]:[Depth23]]))</f>
        <v>4.95</v>
      </c>
      <c r="G68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68" s="144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0.15000000000000002</v>
      </c>
      <c r="I68" s="144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0.55000000000000004</v>
      </c>
      <c r="J68" s="144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0.55000000000000004</v>
      </c>
      <c r="K68" s="144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0.55000000000000004</v>
      </c>
      <c r="L68" s="144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0.55000000000000004</v>
      </c>
      <c r="M68" s="144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0.55000000000000004</v>
      </c>
      <c r="N68" s="144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0.55000000000000004</v>
      </c>
      <c r="O68" s="144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0.55000000000000004</v>
      </c>
      <c r="P68" s="144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0.55000000000000004</v>
      </c>
      <c r="Q68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0.4</v>
      </c>
      <c r="R68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8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8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8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8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8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8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8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8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8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8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8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8" s="145"/>
      <c r="AE68" s="146"/>
      <c r="AF68" s="147">
        <f>DATA[[#This Row],[Bedding]]/1000</f>
        <v>0.1</v>
      </c>
      <c r="AG68" s="172">
        <f>IF(OR(Depths[[#This Row],[From_Dp]]=0,Depths[[#This Row],[To_Dp]]=0),"",DATA[[#This Row],[Length]]/ABS(Depths[[#This Row],[To_Dp]]-Depths[[#This Row],[From_Dp]]))</f>
        <v>2.2075055187637962</v>
      </c>
      <c r="AH68" s="148" t="b">
        <f>IF(OR(DATA[[#This Row],[TOTAL]],COUNTIF(Depths[[#This Row],[From]:[Dia]],"*total*")&gt;0),TRUE,FALSE)</f>
        <v>0</v>
      </c>
      <c r="AI68" s="148">
        <f>IF(Depths[[#This Row],[TOTAL]],"",Depths[[#This Row],[COUNT]])</f>
        <v>3</v>
      </c>
      <c r="AJ68" s="149">
        <f>IF(Depths[[#This Row],[TOTAL]],$AJ67+1,IF($AJ67="COUNT",1,$AJ67))</f>
        <v>3</v>
      </c>
      <c r="AK68" s="148">
        <f>ABS(DATA[[#This Row],[Length]]-Depths[[#This Row],[Length]])</f>
        <v>4.9999999999999822E-2</v>
      </c>
    </row>
    <row r="69" spans="1:37" x14ac:dyDescent="0.2">
      <c r="A69" s="139" t="str">
        <f>DATA[[#This Row],[From_ID]]&amp;IF(COUNTA(DATA[[#This Row],[From_ID2]]),"/"&amp;DATA[[#This Row],[From_ID2]],)</f>
        <v>FWMH09</v>
      </c>
      <c r="B69" s="140">
        <f>DATA[[#This Row],[From_Depth]]</f>
        <v>2.9650000000000034</v>
      </c>
      <c r="C69" s="139" t="str">
        <f>DATA[[#This Row],[To_ID]]</f>
        <v>SVP1</v>
      </c>
      <c r="D69" s="140">
        <f>DATA[[#This Row],[To_Depth]]</f>
        <v>0.3</v>
      </c>
      <c r="E69" s="141">
        <f>DATA[[#This Row],[Dia]]</f>
        <v>100</v>
      </c>
      <c r="F69" s="142">
        <f>IF(Depths[[#This Row],[TOTAL]],SUMIF(Depths[FLAG],(Depths[[#This Row],[COUNT]]-1),Depths[Length]),SUM(Depths[[#This Row],[Depth1]:[Depth23]]))</f>
        <v>2.0999999999999996</v>
      </c>
      <c r="G69" s="143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0.15000000000000002</v>
      </c>
      <c r="H69" s="144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0.2</v>
      </c>
      <c r="I69" s="144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0.2</v>
      </c>
      <c r="J69" s="144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0.2</v>
      </c>
      <c r="K69" s="144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0.2</v>
      </c>
      <c r="L69" s="144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0.2</v>
      </c>
      <c r="M69" s="144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0.2</v>
      </c>
      <c r="N69" s="144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0.2</v>
      </c>
      <c r="O69" s="144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0.2</v>
      </c>
      <c r="P69" s="144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0.2</v>
      </c>
      <c r="Q69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0.15000000000000002</v>
      </c>
      <c r="R69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69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69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69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69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69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69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69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69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69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69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69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69" s="145"/>
      <c r="AE69" s="146"/>
      <c r="AF69" s="147">
        <f>DATA[[#This Row],[Bedding]]/1000</f>
        <v>0.1</v>
      </c>
      <c r="AG69" s="172">
        <f>IF(OR(Depths[[#This Row],[From_Dp]]=0,Depths[[#This Row],[To_Dp]]=0),"",DATA[[#This Row],[Length]]/ABS(Depths[[#This Row],[To_Dp]]-Depths[[#This Row],[From_Dp]]))</f>
        <v>0.71294559099437049</v>
      </c>
      <c r="AH69" s="148" t="b">
        <f>IF(OR(DATA[[#This Row],[TOTAL]],COUNTIF(Depths[[#This Row],[From]:[Dia]],"*total*")&gt;0),TRUE,FALSE)</f>
        <v>0</v>
      </c>
      <c r="AI69" s="148">
        <f>IF(Depths[[#This Row],[TOTAL]],"",Depths[[#This Row],[COUNT]])</f>
        <v>3</v>
      </c>
      <c r="AJ69" s="149">
        <f>IF(Depths[[#This Row],[TOTAL]],$AJ68+1,IF($AJ68="COUNT",1,$AJ68))</f>
        <v>3</v>
      </c>
      <c r="AK69" s="148">
        <f>ABS(DATA[[#This Row],[Length]]-Depths[[#This Row],[Length]])</f>
        <v>0.19999999999999973</v>
      </c>
    </row>
    <row r="70" spans="1:37" x14ac:dyDescent="0.2">
      <c r="A70" s="139" t="str">
        <f>DATA[[#This Row],[From_ID]]&amp;IF(COUNTA(DATA[[#This Row],[From_ID2]]),"/"&amp;DATA[[#This Row],[From_ID2]],)</f>
        <v>FWMH09</v>
      </c>
      <c r="B70" s="140">
        <f>DATA[[#This Row],[From_Depth]]</f>
        <v>2.9650000000000034</v>
      </c>
      <c r="C70" s="139" t="str">
        <f>DATA[[#This Row],[To_ID]]</f>
        <v>SVP2</v>
      </c>
      <c r="D70" s="140">
        <f>DATA[[#This Row],[To_Depth]]</f>
        <v>0.3</v>
      </c>
      <c r="E70" s="141">
        <f>DATA[[#This Row],[Dia]]</f>
        <v>100</v>
      </c>
      <c r="F70" s="142">
        <f>IF(Depths[[#This Row],[TOTAL]],SUMIF(Depths[FLAG],(Depths[[#This Row],[COUNT]]-1),Depths[Length]),SUM(Depths[[#This Row],[Depth1]:[Depth23]]))</f>
        <v>5.85</v>
      </c>
      <c r="G70" s="143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>0.5</v>
      </c>
      <c r="H70" s="144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>0.55000000000000004</v>
      </c>
      <c r="I70" s="144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>0.55000000000000004</v>
      </c>
      <c r="J70" s="144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>0.55000000000000004</v>
      </c>
      <c r="K70" s="144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>0.55000000000000004</v>
      </c>
      <c r="L70" s="144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>0.55000000000000004</v>
      </c>
      <c r="M70" s="144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>0.55000000000000004</v>
      </c>
      <c r="N70" s="144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>0.55000000000000004</v>
      </c>
      <c r="O70" s="144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>0.55000000000000004</v>
      </c>
      <c r="P70" s="144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>0.55000000000000004</v>
      </c>
      <c r="Q70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0.4</v>
      </c>
      <c r="R70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70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0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0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0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0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0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0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0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0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0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0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0" s="145"/>
      <c r="AE70" s="146"/>
      <c r="AF70" s="147">
        <f>DATA[[#This Row],[Bedding]]/1000</f>
        <v>0.1</v>
      </c>
      <c r="AG70" s="172">
        <f>IF(OR(Depths[[#This Row],[From_Dp]]=0,Depths[[#This Row],[To_Dp]]=0),"",DATA[[#This Row],[Length]]/ABS(Depths[[#This Row],[To_Dp]]-Depths[[#This Row],[From_Dp]]))</f>
        <v>2.1200750469043124</v>
      </c>
      <c r="AH70" s="148" t="b">
        <f>IF(OR(DATA[[#This Row],[TOTAL]],COUNTIF(Depths[[#This Row],[From]:[Dia]],"*total*")&gt;0),TRUE,FALSE)</f>
        <v>0</v>
      </c>
      <c r="AI70" s="148">
        <f>IF(Depths[[#This Row],[TOTAL]],"",Depths[[#This Row],[COUNT]])</f>
        <v>3</v>
      </c>
      <c r="AJ70" s="149">
        <f>IF(Depths[[#This Row],[TOTAL]],$AJ69+1,IF($AJ69="COUNT",1,$AJ69))</f>
        <v>3</v>
      </c>
      <c r="AK70" s="148">
        <f>ABS(DATA[[#This Row],[Length]]-Depths[[#This Row],[Length]])</f>
        <v>0.19999999999999929</v>
      </c>
    </row>
    <row r="71" spans="1:37" x14ac:dyDescent="0.2">
      <c r="A71" s="139" t="str">
        <f>DATA[[#This Row],[From_ID]]&amp;IF(COUNTA(DATA[[#This Row],[From_ID2]]),"/"&amp;DATA[[#This Row],[From_ID2]],)</f>
        <v>FWMH09</v>
      </c>
      <c r="B71" s="140">
        <f>DATA[[#This Row],[From_Depth]]</f>
        <v>2.9650000000000034</v>
      </c>
      <c r="C71" s="139" t="str">
        <f>DATA[[#This Row],[To_ID]]</f>
        <v>FWMH11</v>
      </c>
      <c r="D71" s="140">
        <f>DATA[[#This Row],[To_Depth]]</f>
        <v>3.1099999999999994</v>
      </c>
      <c r="E71" s="141">
        <f>DATA[[#This Row],[Dia]]</f>
        <v>100</v>
      </c>
      <c r="F71" s="142">
        <f>IF(Depths[[#This Row],[TOTAL]],SUMIF(Depths[FLAG],(Depths[[#This Row],[COUNT]]-1),Depths[Length]),SUM(Depths[[#This Row],[Depth1]:[Depth23]]))</f>
        <v>8.15</v>
      </c>
      <c r="G71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71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71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71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71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71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71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71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71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71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71" s="144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>3.35</v>
      </c>
      <c r="R71" s="144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>4.8000000000000007</v>
      </c>
      <c r="S71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1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1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1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1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1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1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1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1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1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1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1" s="145"/>
      <c r="AE71" s="146"/>
      <c r="AF71" s="147">
        <f>DATA[[#This Row],[Bedding]]/1000</f>
        <v>0.1</v>
      </c>
      <c r="AG71" s="172">
        <f>IF(OR(Depths[[#This Row],[From_Dp]]=0,Depths[[#This Row],[To_Dp]]=0),"",DATA[[#This Row],[Length]]/ABS(Depths[[#This Row],[To_Dp]]-Depths[[#This Row],[From_Dp]]))</f>
        <v>56.206896551725684</v>
      </c>
      <c r="AH71" s="148" t="b">
        <f>IF(OR(DATA[[#This Row],[TOTAL]],COUNTIF(Depths[[#This Row],[From]:[Dia]],"*total*")&gt;0),TRUE,FALSE)</f>
        <v>0</v>
      </c>
      <c r="AI71" s="148">
        <f>IF(Depths[[#This Row],[TOTAL]],"",Depths[[#This Row],[COUNT]])</f>
        <v>3</v>
      </c>
      <c r="AJ71" s="149">
        <f>IF(Depths[[#This Row],[TOTAL]],$AJ70+1,IF($AJ70="COUNT",1,$AJ70))</f>
        <v>3</v>
      </c>
      <c r="AK71" s="148">
        <f>ABS(DATA[[#This Row],[Length]]-Depths[[#This Row],[Length]])</f>
        <v>0</v>
      </c>
    </row>
    <row r="72" spans="1:37" x14ac:dyDescent="0.2">
      <c r="A72" s="139" t="str">
        <f>DATA[[#This Row],[From_ID]]&amp;IF(COUNTA(DATA[[#This Row],[From_ID2]]),"/"&amp;DATA[[#This Row],[From_ID2]],)</f>
        <v/>
      </c>
      <c r="B72" s="140">
        <f>DATA[[#This Row],[From_Depth]]</f>
        <v>0</v>
      </c>
      <c r="C72" s="139">
        <f>DATA[[#This Row],[To_ID]]</f>
        <v>0</v>
      </c>
      <c r="D72" s="140">
        <f>DATA[[#This Row],[To_Depth]]</f>
        <v>0</v>
      </c>
      <c r="E72" s="141">
        <f>DATA[[#This Row],[Dia]]</f>
        <v>0</v>
      </c>
      <c r="F72" s="142">
        <f>IF(Depths[[#This Row],[TOTAL]],SUMIF(Depths[FLAG],(Depths[[#This Row],[COUNT]]-1),Depths[Length]),SUM(Depths[[#This Row],[Depth1]:[Depth23]]))</f>
        <v>0</v>
      </c>
      <c r="G72" s="143" t="str">
        <f>IF(Depths[[#This Row],[TOTAL]],SUMIF(Depths[FLAG],Depths[[#This Row],[COUNT]]-1,Depths[Depth1]),IF((MIN(Depths[[#This Row],[From_Dp]],Depths[[#This Row],[To_Dp]])+Depths[[#This Row],[Bed_Depth]])&lt;(G$4+0.125),IF((MAX(Depths[[#This Row],[From_Dp]],Depths[[#This Row],[To_Dp]])+Depths[[#This Row],[Bed_Depth]])&gt;(G$4+0.125),MROUND(((G$4+0.125)-(MIN(Depths[[#This Row],[From_Dp]],Depths[[#This Row],[To_Dp]])+Depths[[#This Row],[Bed_Depth]]))*Depths[[#This Row],[Gradient]],0.05),IF(AND((MAX(Depths[[#This Row],[From_Dp]],Depths[[#This Row],[To_Dp]])+Depths[[#This Row],[Bed_Depth]])&lt;=(G$4+0.125),MAX(Depths[[#This Row],[From_Dp]],Depths[[#This Row],[To_Dp]])&lt;&gt;0),DATA[[#This Row],[Length]],"")),""))</f>
        <v/>
      </c>
      <c r="H72" s="144" t="str">
        <f>IF(Depths[[#This Row],[TOTAL]],SUMIF(Depths[FLAG],Depths[[#This Row],[COUNT]]-1,Depths[Depth2]),IF(AND((MAX(Depths[[#This Row],[From_Dp]],Depths[[#This Row],[To_Dp]])+Depths[[#This Row],[Bed_Depth]])&gt;=(H$4+0.125),(MIN(Depths[[#This Row],[From_Dp]],Depths[[#This Row],[To_Dp]])+Depths[[#This Row],[Bed_Depth]])&lt;=(H$4-0.125)),MROUND(0.25*Depths[[#This Row],[Gradient]],0.05),IF(AND((MAX(Depths[[#This Row],[From_Dp]],Depths[[#This Row],[To_Dp]])+Depths[[#This Row],[Bed_Depth]])&lt;=(H$4+0.125),(MIN(Depths[[#This Row],[From_Dp]],Depths[[#This Row],[To_Dp]])+Depths[[#This Row],[Bed_Depth]])&gt;=(H$4-0.125)),DATA[[#This Row],[Length]],IF(AND((MAX(Depths[[#This Row],[From_Dp]],Depths[[#This Row],[To_Dp]])+Depths[[#This Row],[Bed_Depth]])&gt;(H$4-0.125),(MIN(Depths[[#This Row],[From_Dp]],Depths[[#This Row],[To_Dp]])+Depths[[#This Row],[Bed_Depth]])&lt;=(H$4-0.125)),MROUND(((MAX(Depths[[#This Row],[From_Dp]],Depths[[#This Row],[To_Dp]])+Depths[[#This Row],[Bed_Depth]])-(H$4-0.125))*Depths[[#This Row],[Gradient]],0.05),IF(AND((MIN(Depths[[#This Row],[From_Dp]],Depths[[#This Row],[To_Dp]])+Depths[[#This Row],[Bed_Depth]])&lt;(H$4+0.125),(MAX(Depths[[#This Row],[From_Dp]],Depths[[#This Row],[To_Dp]])+Depths[[#This Row],[Bed_Depth]])&gt;=(H$4+0.125)),MROUND(((H$4+0.125)-(MIN(Depths[[#This Row],[From_Dp]],Depths[[#This Row],[To_Dp]])+Depths[[#This Row],[Bed_Depth]]))*Depths[[#This Row],[Gradient]],0.05),"")))))</f>
        <v/>
      </c>
      <c r="I72" s="144" t="str">
        <f>IF(Depths[[#This Row],[TOTAL]],SUMIF(Depths[FLAG],Depths[[#This Row],[COUNT]]-1,Depths[Depth3]),IF(AND((MAX(Depths[[#This Row],[From_Dp]],Depths[[#This Row],[To_Dp]])+Depths[[#This Row],[Bed_Depth]])&gt;=(I$4+0.125),(MIN(Depths[[#This Row],[From_Dp]],Depths[[#This Row],[To_Dp]])+Depths[[#This Row],[Bed_Depth]])&lt;=(I$4-0.125)),MROUND(0.25*Depths[[#This Row],[Gradient]],0.05),IF(AND((MAX(Depths[[#This Row],[From_Dp]],Depths[[#This Row],[To_Dp]])+Depths[[#This Row],[Bed_Depth]])&lt;=(I$4+0.125),(MIN(Depths[[#This Row],[From_Dp]],Depths[[#This Row],[To_Dp]])+Depths[[#This Row],[Bed_Depth]])&gt;=(I$4-0.125)),DATA[[#This Row],[Length]],IF(AND((MAX(Depths[[#This Row],[From_Dp]],Depths[[#This Row],[To_Dp]])+Depths[[#This Row],[Bed_Depth]])&gt;(I$4-0.125),(MIN(Depths[[#This Row],[From_Dp]],Depths[[#This Row],[To_Dp]])+Depths[[#This Row],[Bed_Depth]])&lt;=(I$4-0.125)),MROUND(((MAX(Depths[[#This Row],[From_Dp]],Depths[[#This Row],[To_Dp]])+Depths[[#This Row],[Bed_Depth]])-(I$4-0.125))*Depths[[#This Row],[Gradient]],0.05),IF(AND((MIN(Depths[[#This Row],[From_Dp]],Depths[[#This Row],[To_Dp]])+Depths[[#This Row],[Bed_Depth]])&lt;(I$4+0.125),(MAX(Depths[[#This Row],[From_Dp]],Depths[[#This Row],[To_Dp]])+Depths[[#This Row],[Bed_Depth]])&gt;=(I$4+0.125)),MROUND(((I$4+0.125)-(MIN(Depths[[#This Row],[From_Dp]],Depths[[#This Row],[To_Dp]])+Depths[[#This Row],[Bed_Depth]]))*Depths[[#This Row],[Gradient]],0.05),"")))))</f>
        <v/>
      </c>
      <c r="J72" s="144" t="str">
        <f>IF(Depths[[#This Row],[TOTAL]],SUMIF(Depths[FLAG],Depths[[#This Row],[COUNT]]-1,Depths[Depth4]),IF(AND((MAX(Depths[[#This Row],[From_Dp]],Depths[[#This Row],[To_Dp]])+Depths[[#This Row],[Bed_Depth]])&gt;=(J$4+0.125),(MIN(Depths[[#This Row],[From_Dp]],Depths[[#This Row],[To_Dp]])+Depths[[#This Row],[Bed_Depth]])&lt;=(J$4-0.125)),MROUND(0.25*Depths[[#This Row],[Gradient]],0.05),IF(AND((MAX(Depths[[#This Row],[From_Dp]],Depths[[#This Row],[To_Dp]])+Depths[[#This Row],[Bed_Depth]])&lt;=(J$4+0.125),(MIN(Depths[[#This Row],[From_Dp]],Depths[[#This Row],[To_Dp]])+Depths[[#This Row],[Bed_Depth]])&gt;=(J$4-0.125)),DATA[[#This Row],[Length]],IF(AND((MAX(Depths[[#This Row],[From_Dp]],Depths[[#This Row],[To_Dp]])+Depths[[#This Row],[Bed_Depth]])&gt;(J$4-0.125),(MIN(Depths[[#This Row],[From_Dp]],Depths[[#This Row],[To_Dp]])+Depths[[#This Row],[Bed_Depth]])&lt;=(J$4-0.125)),MROUND(((MAX(Depths[[#This Row],[From_Dp]],Depths[[#This Row],[To_Dp]])+Depths[[#This Row],[Bed_Depth]])-(J$4-0.125))*Depths[[#This Row],[Gradient]],0.05),IF(AND((MIN(Depths[[#This Row],[From_Dp]],Depths[[#This Row],[To_Dp]])+Depths[[#This Row],[Bed_Depth]])&lt;(J$4+0.125),(MAX(Depths[[#This Row],[From_Dp]],Depths[[#This Row],[To_Dp]])+Depths[[#This Row],[Bed_Depth]])&gt;=(J$4+0.125)),MROUND(((J$4+0.125)-(MIN(Depths[[#This Row],[From_Dp]],Depths[[#This Row],[To_Dp]])+Depths[[#This Row],[Bed_Depth]]))*Depths[[#This Row],[Gradient]],0.05),"")))))</f>
        <v/>
      </c>
      <c r="K72" s="144" t="str">
        <f>IF(Depths[[#This Row],[TOTAL]],SUMIF(Depths[FLAG],Depths[[#This Row],[COUNT]]-1,Depths[Depth5]),IF(AND((MAX(Depths[[#This Row],[From_Dp]],Depths[[#This Row],[To_Dp]])+Depths[[#This Row],[Bed_Depth]])&gt;=(K$4+0.125),(MIN(Depths[[#This Row],[From_Dp]],Depths[[#This Row],[To_Dp]])+Depths[[#This Row],[Bed_Depth]])&lt;=(K$4-0.125)),MROUND(0.25*Depths[[#This Row],[Gradient]],0.05),IF(AND((MAX(Depths[[#This Row],[From_Dp]],Depths[[#This Row],[To_Dp]])+Depths[[#This Row],[Bed_Depth]])&lt;=(K$4+0.125),(MIN(Depths[[#This Row],[From_Dp]],Depths[[#This Row],[To_Dp]])+Depths[[#This Row],[Bed_Depth]])&gt;=(K$4-0.125)),DATA[[#This Row],[Length]],IF(AND((MAX(Depths[[#This Row],[From_Dp]],Depths[[#This Row],[To_Dp]])+Depths[[#This Row],[Bed_Depth]])&gt;(K$4-0.125),(MIN(Depths[[#This Row],[From_Dp]],Depths[[#This Row],[To_Dp]])+Depths[[#This Row],[Bed_Depth]])&lt;=(K$4-0.125)),MROUND(((MAX(Depths[[#This Row],[From_Dp]],Depths[[#This Row],[To_Dp]])+Depths[[#This Row],[Bed_Depth]])-(K$4-0.125))*Depths[[#This Row],[Gradient]],0.05),IF(AND((MIN(Depths[[#This Row],[From_Dp]],Depths[[#This Row],[To_Dp]])+Depths[[#This Row],[Bed_Depth]])&lt;(K$4+0.125),(MAX(Depths[[#This Row],[From_Dp]],Depths[[#This Row],[To_Dp]])+Depths[[#This Row],[Bed_Depth]])&gt;=(K$4+0.125)),MROUND(((K$4+0.125)-(MIN(Depths[[#This Row],[From_Dp]],Depths[[#This Row],[To_Dp]])+Depths[[#This Row],[Bed_Depth]]))*Depths[[#This Row],[Gradient]],0.05),"")))))</f>
        <v/>
      </c>
      <c r="L72" s="144" t="str">
        <f>IF(Depths[[#This Row],[TOTAL]],SUMIF(Depths[FLAG],Depths[[#This Row],[COUNT]]-1,Depths[Depth6]),IF(AND((MAX(Depths[[#This Row],[From_Dp]],Depths[[#This Row],[To_Dp]])+Depths[[#This Row],[Bed_Depth]])&gt;=(L$4+0.125),(MIN(Depths[[#This Row],[From_Dp]],Depths[[#This Row],[To_Dp]])+Depths[[#This Row],[Bed_Depth]])&lt;=(L$4-0.125)),MROUND(0.25*Depths[[#This Row],[Gradient]],0.05),IF(AND((MAX(Depths[[#This Row],[From_Dp]],Depths[[#This Row],[To_Dp]])+Depths[[#This Row],[Bed_Depth]])&lt;=(L$4+0.125),(MIN(Depths[[#This Row],[From_Dp]],Depths[[#This Row],[To_Dp]])+Depths[[#This Row],[Bed_Depth]])&gt;=(L$4-0.125)),DATA[[#This Row],[Length]],IF(AND((MAX(Depths[[#This Row],[From_Dp]],Depths[[#This Row],[To_Dp]])+Depths[[#This Row],[Bed_Depth]])&gt;(L$4-0.125),(MIN(Depths[[#This Row],[From_Dp]],Depths[[#This Row],[To_Dp]])+Depths[[#This Row],[Bed_Depth]])&lt;=(L$4-0.125)),MROUND(((MAX(Depths[[#This Row],[From_Dp]],Depths[[#This Row],[To_Dp]])+Depths[[#This Row],[Bed_Depth]])-(L$4-0.125))*Depths[[#This Row],[Gradient]],0.05),IF(AND((MIN(Depths[[#This Row],[From_Dp]],Depths[[#This Row],[To_Dp]])+Depths[[#This Row],[Bed_Depth]])&lt;(L$4+0.125),(MAX(Depths[[#This Row],[From_Dp]],Depths[[#This Row],[To_Dp]])+Depths[[#This Row],[Bed_Depth]])&gt;=(L$4+0.125)),MROUND(((L$4+0.125)-(MIN(Depths[[#This Row],[From_Dp]],Depths[[#This Row],[To_Dp]])+Depths[[#This Row],[Bed_Depth]]))*Depths[[#This Row],[Gradient]],0.05),"")))))</f>
        <v/>
      </c>
      <c r="M72" s="144" t="str">
        <f>IF(Depths[[#This Row],[TOTAL]],SUMIF(Depths[FLAG],Depths[[#This Row],[COUNT]]-1,Depths[Depth7]),IF(AND((MAX(Depths[[#This Row],[From_Dp]],Depths[[#This Row],[To_Dp]])+Depths[[#This Row],[Bed_Depth]])&gt;=(M$4+0.125),(MIN(Depths[[#This Row],[From_Dp]],Depths[[#This Row],[To_Dp]])+Depths[[#This Row],[Bed_Depth]])&lt;=(M$4-0.125)),MROUND(0.25*Depths[[#This Row],[Gradient]],0.05),IF(AND((MAX(Depths[[#This Row],[From_Dp]],Depths[[#This Row],[To_Dp]])+Depths[[#This Row],[Bed_Depth]])&lt;=(M$4+0.125),(MIN(Depths[[#This Row],[From_Dp]],Depths[[#This Row],[To_Dp]])+Depths[[#This Row],[Bed_Depth]])&gt;=(M$4-0.125)),DATA[[#This Row],[Length]],IF(AND((MAX(Depths[[#This Row],[From_Dp]],Depths[[#This Row],[To_Dp]])+Depths[[#This Row],[Bed_Depth]])&gt;(M$4-0.125),(MIN(Depths[[#This Row],[From_Dp]],Depths[[#This Row],[To_Dp]])+Depths[[#This Row],[Bed_Depth]])&lt;=(M$4-0.125)),MROUND(((MAX(Depths[[#This Row],[From_Dp]],Depths[[#This Row],[To_Dp]])+Depths[[#This Row],[Bed_Depth]])-(M$4-0.125))*Depths[[#This Row],[Gradient]],0.05),IF(AND((MIN(Depths[[#This Row],[From_Dp]],Depths[[#This Row],[To_Dp]])+Depths[[#This Row],[Bed_Depth]])&lt;(M$4+0.125),(MAX(Depths[[#This Row],[From_Dp]],Depths[[#This Row],[To_Dp]])+Depths[[#This Row],[Bed_Depth]])&gt;=(M$4+0.125)),MROUND(((M$4+0.125)-(MIN(Depths[[#This Row],[From_Dp]],Depths[[#This Row],[To_Dp]])+Depths[[#This Row],[Bed_Depth]]))*Depths[[#This Row],[Gradient]],0.05),"")))))</f>
        <v/>
      </c>
      <c r="N72" s="144" t="str">
        <f>IF(Depths[[#This Row],[TOTAL]],SUMIF(Depths[FLAG],Depths[[#This Row],[COUNT]]-1,Depths[Depth8]),IF(AND((MAX(Depths[[#This Row],[From_Dp]],Depths[[#This Row],[To_Dp]])+Depths[[#This Row],[Bed_Depth]])&gt;=(N$4+0.125),(MIN(Depths[[#This Row],[From_Dp]],Depths[[#This Row],[To_Dp]])+Depths[[#This Row],[Bed_Depth]])&lt;=(N$4-0.125)),MROUND(0.25*Depths[[#This Row],[Gradient]],0.05),IF(AND((MAX(Depths[[#This Row],[From_Dp]],Depths[[#This Row],[To_Dp]])+Depths[[#This Row],[Bed_Depth]])&lt;=(N$4+0.125),(MIN(Depths[[#This Row],[From_Dp]],Depths[[#This Row],[To_Dp]])+Depths[[#This Row],[Bed_Depth]])&gt;=(N$4-0.125)),DATA[[#This Row],[Length]],IF(AND((MAX(Depths[[#This Row],[From_Dp]],Depths[[#This Row],[To_Dp]])+Depths[[#This Row],[Bed_Depth]])&gt;(N$4-0.125),(MIN(Depths[[#This Row],[From_Dp]],Depths[[#This Row],[To_Dp]])+Depths[[#This Row],[Bed_Depth]])&lt;=(N$4-0.125)),MROUND(((MAX(Depths[[#This Row],[From_Dp]],Depths[[#This Row],[To_Dp]])+Depths[[#This Row],[Bed_Depth]])-(N$4-0.125))*Depths[[#This Row],[Gradient]],0.05),IF(AND((MIN(Depths[[#This Row],[From_Dp]],Depths[[#This Row],[To_Dp]])+Depths[[#This Row],[Bed_Depth]])&lt;(N$4+0.125),(MAX(Depths[[#This Row],[From_Dp]],Depths[[#This Row],[To_Dp]])+Depths[[#This Row],[Bed_Depth]])&gt;=(N$4+0.125)),MROUND(((N$4+0.125)-(MIN(Depths[[#This Row],[From_Dp]],Depths[[#This Row],[To_Dp]])+Depths[[#This Row],[Bed_Depth]]))*Depths[[#This Row],[Gradient]],0.05),"")))))</f>
        <v/>
      </c>
      <c r="O72" s="144" t="str">
        <f>IF(Depths[[#This Row],[TOTAL]],SUMIF(Depths[FLAG],Depths[[#This Row],[COUNT]]-1,Depths[Depth9]),IF(AND((MAX(Depths[[#This Row],[From_Dp]],Depths[[#This Row],[To_Dp]])+Depths[[#This Row],[Bed_Depth]])&gt;=(O$4+0.125),(MIN(Depths[[#This Row],[From_Dp]],Depths[[#This Row],[To_Dp]])+Depths[[#This Row],[Bed_Depth]])&lt;=(O$4-0.125)),MROUND(0.25*Depths[[#This Row],[Gradient]],0.05),IF(AND((MAX(Depths[[#This Row],[From_Dp]],Depths[[#This Row],[To_Dp]])+Depths[[#This Row],[Bed_Depth]])&lt;=(O$4+0.125),(MIN(Depths[[#This Row],[From_Dp]],Depths[[#This Row],[To_Dp]])+Depths[[#This Row],[Bed_Depth]])&gt;=(O$4-0.125)),DATA[[#This Row],[Length]],IF(AND((MAX(Depths[[#This Row],[From_Dp]],Depths[[#This Row],[To_Dp]])+Depths[[#This Row],[Bed_Depth]])&gt;(O$4-0.125),(MIN(Depths[[#This Row],[From_Dp]],Depths[[#This Row],[To_Dp]])+Depths[[#This Row],[Bed_Depth]])&lt;=(O$4-0.125)),MROUND(((MAX(Depths[[#This Row],[From_Dp]],Depths[[#This Row],[To_Dp]])+Depths[[#This Row],[Bed_Depth]])-(O$4-0.125))*Depths[[#This Row],[Gradient]],0.05),IF(AND((MIN(Depths[[#This Row],[From_Dp]],Depths[[#This Row],[To_Dp]])+Depths[[#This Row],[Bed_Depth]])&lt;(O$4+0.125),(MAX(Depths[[#This Row],[From_Dp]],Depths[[#This Row],[To_Dp]])+Depths[[#This Row],[Bed_Depth]])&gt;=(O$4+0.125)),MROUND(((O$4+0.125)-(MIN(Depths[[#This Row],[From_Dp]],Depths[[#This Row],[To_Dp]])+Depths[[#This Row],[Bed_Depth]]))*Depths[[#This Row],[Gradient]],0.05),"")))))</f>
        <v/>
      </c>
      <c r="P72" s="144" t="str">
        <f>IF(Depths[[#This Row],[TOTAL]],SUMIF(Depths[FLAG],Depths[[#This Row],[COUNT]]-1,Depths[Depth10]),IF(AND((MAX(Depths[[#This Row],[From_Dp]],Depths[[#This Row],[To_Dp]])+Depths[[#This Row],[Bed_Depth]])&gt;=(P$4+0.125),(MIN(Depths[[#This Row],[From_Dp]],Depths[[#This Row],[To_Dp]])+Depths[[#This Row],[Bed_Depth]])&lt;=(P$4-0.125)),MROUND(0.25*Depths[[#This Row],[Gradient]],0.05),IF(AND((MAX(Depths[[#This Row],[From_Dp]],Depths[[#This Row],[To_Dp]])+Depths[[#This Row],[Bed_Depth]])&lt;=(P$4+0.125),(MIN(Depths[[#This Row],[From_Dp]],Depths[[#This Row],[To_Dp]])+Depths[[#This Row],[Bed_Depth]])&gt;=(P$4-0.125)),DATA[[#This Row],[Length]],IF(AND((MAX(Depths[[#This Row],[From_Dp]],Depths[[#This Row],[To_Dp]])+Depths[[#This Row],[Bed_Depth]])&gt;(P$4-0.125),(MIN(Depths[[#This Row],[From_Dp]],Depths[[#This Row],[To_Dp]])+Depths[[#This Row],[Bed_Depth]])&lt;=(P$4-0.125)),MROUND(((MAX(Depths[[#This Row],[From_Dp]],Depths[[#This Row],[To_Dp]])+Depths[[#This Row],[Bed_Depth]])-(P$4-0.125))*Depths[[#This Row],[Gradient]],0.05),IF(AND((MIN(Depths[[#This Row],[From_Dp]],Depths[[#This Row],[To_Dp]])+Depths[[#This Row],[Bed_Depth]])&lt;(P$4+0.125),(MAX(Depths[[#This Row],[From_Dp]],Depths[[#This Row],[To_Dp]])+Depths[[#This Row],[Bed_Depth]])&gt;=(P$4+0.125)),MROUND(((P$4+0.125)-(MIN(Depths[[#This Row],[From_Dp]],Depths[[#This Row],[To_Dp]])+Depths[[#This Row],[Bed_Depth]]))*Depths[[#This Row],[Gradient]],0.05),"")))))</f>
        <v/>
      </c>
      <c r="Q72" s="144" t="str">
        <f>IF(Depths[[#This Row],[TOTAL]],SUMIF(Depths[FLAG],Depths[[#This Row],[COUNT]]-1,Depths[Depth11]),IF(AND((MAX(Depths[[#This Row],[From_Dp]],Depths[[#This Row],[To_Dp]])+Depths[[#This Row],[Bed_Depth]])&gt;=(Q$4+0.125),(MIN(Depths[[#This Row],[From_Dp]],Depths[[#This Row],[To_Dp]])+Depths[[#This Row],[Bed_Depth]])&lt;=(Q$4-0.125)),MROUND(0.25*Depths[[#This Row],[Gradient]],0.05),IF(AND((MAX(Depths[[#This Row],[From_Dp]],Depths[[#This Row],[To_Dp]])+Depths[[#This Row],[Bed_Depth]])&lt;=(Q$4+0.125),(MIN(Depths[[#This Row],[From_Dp]],Depths[[#This Row],[To_Dp]])+Depths[[#This Row],[Bed_Depth]])&gt;=(Q$4-0.125)),DATA[[#This Row],[Length]],IF(AND((MAX(Depths[[#This Row],[From_Dp]],Depths[[#This Row],[To_Dp]])+Depths[[#This Row],[Bed_Depth]])&gt;(Q$4-0.125),(MIN(Depths[[#This Row],[From_Dp]],Depths[[#This Row],[To_Dp]])+Depths[[#This Row],[Bed_Depth]])&lt;=(Q$4-0.125)),MROUND(((MAX(Depths[[#This Row],[From_Dp]],Depths[[#This Row],[To_Dp]])+Depths[[#This Row],[Bed_Depth]])-(Q$4-0.125))*Depths[[#This Row],[Gradient]],0.05),IF(AND((MIN(Depths[[#This Row],[From_Dp]],Depths[[#This Row],[To_Dp]])+Depths[[#This Row],[Bed_Depth]])&lt;(Q$4+0.125),(MAX(Depths[[#This Row],[From_Dp]],Depths[[#This Row],[To_Dp]])+Depths[[#This Row],[Bed_Depth]])&gt;=(Q$4+0.125)),MROUND(((Q$4+0.125)-(MIN(Depths[[#This Row],[From_Dp]],Depths[[#This Row],[To_Dp]])+Depths[[#This Row],[Bed_Depth]]))*Depths[[#This Row],[Gradient]],0.05),"")))))</f>
        <v/>
      </c>
      <c r="R72" s="144" t="str">
        <f>IF(Depths[[#This Row],[TOTAL]],SUMIF(Depths[FLAG],Depths[[#This Row],[COUNT]]-1,Depths[Depth12]),IF(AND((MAX(Depths[[#This Row],[From_Dp]],Depths[[#This Row],[To_Dp]])+Depths[[#This Row],[Bed_Depth]])&gt;=(R$4+0.125),(MIN(Depths[[#This Row],[From_Dp]],Depths[[#This Row],[To_Dp]])+Depths[[#This Row],[Bed_Depth]])&lt;=(R$4-0.125)),MROUND(0.25*Depths[[#This Row],[Gradient]],0.05),IF(AND((MAX(Depths[[#This Row],[From_Dp]],Depths[[#This Row],[To_Dp]])+Depths[[#This Row],[Bed_Depth]])&lt;=(R$4+0.125),(MIN(Depths[[#This Row],[From_Dp]],Depths[[#This Row],[To_Dp]])+Depths[[#This Row],[Bed_Depth]])&gt;=(R$4-0.125)),DATA[[#This Row],[Length]],IF(AND((MAX(Depths[[#This Row],[From_Dp]],Depths[[#This Row],[To_Dp]])+Depths[[#This Row],[Bed_Depth]])&gt;(R$4-0.125),(MIN(Depths[[#This Row],[From_Dp]],Depths[[#This Row],[To_Dp]])+Depths[[#This Row],[Bed_Depth]])&lt;=(R$4-0.125)),MROUND(((MAX(Depths[[#This Row],[From_Dp]],Depths[[#This Row],[To_Dp]])+Depths[[#This Row],[Bed_Depth]])-(R$4-0.125))*Depths[[#This Row],[Gradient]],0.05),IF(AND((MIN(Depths[[#This Row],[From_Dp]],Depths[[#This Row],[To_Dp]])+Depths[[#This Row],[Bed_Depth]])&lt;(R$4+0.125),(MAX(Depths[[#This Row],[From_Dp]],Depths[[#This Row],[To_Dp]])+Depths[[#This Row],[Bed_Depth]])&gt;=(R$4+0.125)),MROUND(((R$4+0.125)-(MIN(Depths[[#This Row],[From_Dp]],Depths[[#This Row],[To_Dp]])+Depths[[#This Row],[Bed_Depth]]))*Depths[[#This Row],[Gradient]],0.05),"")))))</f>
        <v/>
      </c>
      <c r="S72" s="144" t="str">
        <f>IF(Depths[[#This Row],[TOTAL]],SUMIF(Depths[FLAG],Depths[[#This Row],[COUNT]]-1,Depths[Depth13]),IF(AND((MAX(Depths[[#This Row],[From_Dp]],Depths[[#This Row],[To_Dp]])+Depths[[#This Row],[Bed_Depth]])&gt;=(S$4+0.125),(MIN(Depths[[#This Row],[From_Dp]],Depths[[#This Row],[To_Dp]])+Depths[[#This Row],[Bed_Depth]])&lt;=(S$4-0.125)),MROUND(0.25*Depths[[#This Row],[Gradient]],0.05),IF(AND((MAX(Depths[[#This Row],[From_Dp]],Depths[[#This Row],[To_Dp]])+Depths[[#This Row],[Bed_Depth]])&lt;=(S$4+0.125),(MIN(Depths[[#This Row],[From_Dp]],Depths[[#This Row],[To_Dp]])+Depths[[#This Row],[Bed_Depth]])&gt;=(S$4-0.125)),DATA[[#This Row],[Length]],IF(AND((MAX(Depths[[#This Row],[From_Dp]],Depths[[#This Row],[To_Dp]])+Depths[[#This Row],[Bed_Depth]])&gt;(S$4-0.125),(MIN(Depths[[#This Row],[From_Dp]],Depths[[#This Row],[To_Dp]])+Depths[[#This Row],[Bed_Depth]])&lt;=(S$4-0.125)),MROUND(((MAX(Depths[[#This Row],[From_Dp]],Depths[[#This Row],[To_Dp]])+Depths[[#This Row],[Bed_Depth]])-(S$4-0.125))*Depths[[#This Row],[Gradient]],0.05),IF(AND((MIN(Depths[[#This Row],[From_Dp]],Depths[[#This Row],[To_Dp]])+Depths[[#This Row],[Bed_Depth]])&lt;(S$4+0.125),(MAX(Depths[[#This Row],[From_Dp]],Depths[[#This Row],[To_Dp]])+Depths[[#This Row],[Bed_Depth]])&gt;=(S$4+0.125)),MROUND(((S$4+0.125)-(MIN(Depths[[#This Row],[From_Dp]],Depths[[#This Row],[To_Dp]])+Depths[[#This Row],[Bed_Depth]]))*Depths[[#This Row],[Gradient]],0.05),"")))))</f>
        <v/>
      </c>
      <c r="T72" s="144" t="str">
        <f>IF(Depths[[#This Row],[TOTAL]],SUMIF(Depths[FLAG],Depths[[#This Row],[COUNT]]-1,Depths[Depth14]),IF(AND((MAX(Depths[[#This Row],[From_Dp]],Depths[[#This Row],[To_Dp]])+Depths[[#This Row],[Bed_Depth]])&gt;=(T$4+0.125),(MIN(Depths[[#This Row],[From_Dp]],Depths[[#This Row],[To_Dp]])+Depths[[#This Row],[Bed_Depth]])&lt;=(T$4-0.125)),MROUND(0.25*Depths[[#This Row],[Gradient]],0.05),IF(AND((MAX(Depths[[#This Row],[From_Dp]],Depths[[#This Row],[To_Dp]])+Depths[[#This Row],[Bed_Depth]])&lt;=(T$4+0.125),(MIN(Depths[[#This Row],[From_Dp]],Depths[[#This Row],[To_Dp]])+Depths[[#This Row],[Bed_Depth]])&gt;=(T$4-0.125)),DATA[[#This Row],[Length]],IF(AND((MAX(Depths[[#This Row],[From_Dp]],Depths[[#This Row],[To_Dp]])+Depths[[#This Row],[Bed_Depth]])&gt;(T$4-0.125),(MIN(Depths[[#This Row],[From_Dp]],Depths[[#This Row],[To_Dp]])+Depths[[#This Row],[Bed_Depth]])&lt;=(T$4-0.125)),MROUND(((MAX(Depths[[#This Row],[From_Dp]],Depths[[#This Row],[To_Dp]])+Depths[[#This Row],[Bed_Depth]])-(T$4-0.125))*Depths[[#This Row],[Gradient]],0.05),IF(AND((MIN(Depths[[#This Row],[From_Dp]],Depths[[#This Row],[To_Dp]])+Depths[[#This Row],[Bed_Depth]])&lt;(T$4+0.125),(MAX(Depths[[#This Row],[From_Dp]],Depths[[#This Row],[To_Dp]])+Depths[[#This Row],[Bed_Depth]])&gt;=(T$4+0.125)),MROUND(((T$4+0.125)-(MIN(Depths[[#This Row],[From_Dp]],Depths[[#This Row],[To_Dp]])+Depths[[#This Row],[Bed_Depth]]))*Depths[[#This Row],[Gradient]],0.05),"")))))</f>
        <v/>
      </c>
      <c r="U72" s="144" t="str">
        <f>IF(Depths[[#This Row],[TOTAL]],SUMIF(Depths[FLAG],Depths[[#This Row],[COUNT]]-1,Depths[Depth15]),IF(AND((MAX(Depths[[#This Row],[From_Dp]],Depths[[#This Row],[To_Dp]])+Depths[[#This Row],[Bed_Depth]])&gt;=(U$4+0.125),(MIN(Depths[[#This Row],[From_Dp]],Depths[[#This Row],[To_Dp]])+Depths[[#This Row],[Bed_Depth]])&lt;=(U$4-0.125)),MROUND(0.25*Depths[[#This Row],[Gradient]],0.05),IF(AND((MAX(Depths[[#This Row],[From_Dp]],Depths[[#This Row],[To_Dp]])+Depths[[#This Row],[Bed_Depth]])&lt;=(U$4+0.125),(MIN(Depths[[#This Row],[From_Dp]],Depths[[#This Row],[To_Dp]])+Depths[[#This Row],[Bed_Depth]])&gt;=(U$4-0.125)),DATA[[#This Row],[Length]],IF(AND((MAX(Depths[[#This Row],[From_Dp]],Depths[[#This Row],[To_Dp]])+Depths[[#This Row],[Bed_Depth]])&gt;(U$4-0.125),(MIN(Depths[[#This Row],[From_Dp]],Depths[[#This Row],[To_Dp]])+Depths[[#This Row],[Bed_Depth]])&lt;=(U$4-0.125)),MROUND(((MAX(Depths[[#This Row],[From_Dp]],Depths[[#This Row],[To_Dp]])+Depths[[#This Row],[Bed_Depth]])-(U$4-0.125))*Depths[[#This Row],[Gradient]],0.05),IF(AND((MIN(Depths[[#This Row],[From_Dp]],Depths[[#This Row],[To_Dp]])+Depths[[#This Row],[Bed_Depth]])&lt;(U$4+0.125),(MAX(Depths[[#This Row],[From_Dp]],Depths[[#This Row],[To_Dp]])+Depths[[#This Row],[Bed_Depth]])&gt;=(U$4+0.125)),MROUND(((U$4+0.125)-(MIN(Depths[[#This Row],[From_Dp]],Depths[[#This Row],[To_Dp]])+Depths[[#This Row],[Bed_Depth]]))*Depths[[#This Row],[Gradient]],0.05),"")))))</f>
        <v/>
      </c>
      <c r="V72" s="144" t="str">
        <f>IF(Depths[[#This Row],[TOTAL]],SUMIF(Depths[FLAG],Depths[[#This Row],[COUNT]]-1,Depths[Depth16]),IF(AND((MAX(Depths[[#This Row],[From_Dp]],Depths[[#This Row],[To_Dp]])+Depths[[#This Row],[Bed_Depth]])&gt;=(V$4+0.125),(MIN(Depths[[#This Row],[From_Dp]],Depths[[#This Row],[To_Dp]])+Depths[[#This Row],[Bed_Depth]])&lt;=(V$4-0.125)),MROUND(0.25*Depths[[#This Row],[Gradient]],0.05),IF(AND((MAX(Depths[[#This Row],[From_Dp]],Depths[[#This Row],[To_Dp]])+Depths[[#This Row],[Bed_Depth]])&lt;=(V$4+0.125),(MIN(Depths[[#This Row],[From_Dp]],Depths[[#This Row],[To_Dp]])+Depths[[#This Row],[Bed_Depth]])&gt;=(V$4-0.125)),DATA[[#This Row],[Length]],IF(AND((MAX(Depths[[#This Row],[From_Dp]],Depths[[#This Row],[To_Dp]])+Depths[[#This Row],[Bed_Depth]])&gt;(V$4-0.125),(MIN(Depths[[#This Row],[From_Dp]],Depths[[#This Row],[To_Dp]])+Depths[[#This Row],[Bed_Depth]])&lt;=(V$4-0.125)),MROUND(((MAX(Depths[[#This Row],[From_Dp]],Depths[[#This Row],[To_Dp]])+Depths[[#This Row],[Bed_Depth]])-(V$4-0.125))*Depths[[#This Row],[Gradient]],0.05),IF(AND((MIN(Depths[[#This Row],[From_Dp]],Depths[[#This Row],[To_Dp]])+Depths[[#This Row],[Bed_Depth]])&lt;(V$4+0.125),(MAX(Depths[[#This Row],[From_Dp]],Depths[[#This Row],[To_Dp]])+Depths[[#This Row],[Bed_Depth]])&gt;=(V$4+0.125)),MROUND(((V$4+0.125)-(MIN(Depths[[#This Row],[From_Dp]],Depths[[#This Row],[To_Dp]])+Depths[[#This Row],[Bed_Depth]]))*Depths[[#This Row],[Gradient]],0.05),"")))))</f>
        <v/>
      </c>
      <c r="W72" s="144" t="str">
        <f>IF(Depths[[#This Row],[TOTAL]],SUMIF(Depths[FLAG],Depths[[#This Row],[COUNT]]-1,Depths[Depth17]),IF(AND((MAX(Depths[[#This Row],[From_Dp]],Depths[[#This Row],[To_Dp]])+Depths[[#This Row],[Bed_Depth]])&gt;=(W$4+0.125),(MIN(Depths[[#This Row],[From_Dp]],Depths[[#This Row],[To_Dp]])+Depths[[#This Row],[Bed_Depth]])&lt;=(W$4-0.125)),MROUND(0.25*Depths[[#This Row],[Gradient]],0.05),IF(AND((MAX(Depths[[#This Row],[From_Dp]],Depths[[#This Row],[To_Dp]])+Depths[[#This Row],[Bed_Depth]])&lt;=(W$4+0.125),(MIN(Depths[[#This Row],[From_Dp]],Depths[[#This Row],[To_Dp]])+Depths[[#This Row],[Bed_Depth]])&gt;=(W$4-0.125)),DATA[[#This Row],[Length]],IF(AND((MAX(Depths[[#This Row],[From_Dp]],Depths[[#This Row],[To_Dp]])+Depths[[#This Row],[Bed_Depth]])&gt;(W$4-0.125),(MIN(Depths[[#This Row],[From_Dp]],Depths[[#This Row],[To_Dp]])+Depths[[#This Row],[Bed_Depth]])&lt;=(W$4-0.125)),MROUND(((MAX(Depths[[#This Row],[From_Dp]],Depths[[#This Row],[To_Dp]])+Depths[[#This Row],[Bed_Depth]])-(W$4-0.125))*Depths[[#This Row],[Gradient]],0.05),IF(AND((MIN(Depths[[#This Row],[From_Dp]],Depths[[#This Row],[To_Dp]])+Depths[[#This Row],[Bed_Depth]])&lt;(W$4+0.125),(MAX(Depths[[#This Row],[From_Dp]],Depths[[#This Row],[To_Dp]])+Depths[[#This Row],[Bed_Depth]])&gt;=(W$4+0.125)),MROUND(((W$4+0.125)-(MIN(Depths[[#This Row],[From_Dp]],Depths[[#This Row],[To_Dp]])+Depths[[#This Row],[Bed_Depth]]))*Depths[[#This Row],[Gradient]],0.05),"")))))</f>
        <v/>
      </c>
      <c r="X72" s="144" t="str">
        <f>IF(Depths[[#This Row],[TOTAL]],SUMIF(Depths[FLAG],Depths[[#This Row],[COUNT]]-1,Depths[Depth18]),IF(AND((MAX(Depths[[#This Row],[From_Dp]],Depths[[#This Row],[To_Dp]])+Depths[[#This Row],[Bed_Depth]])&gt;=(X$4+0.125),(MIN(Depths[[#This Row],[From_Dp]],Depths[[#This Row],[To_Dp]])+Depths[[#This Row],[Bed_Depth]])&lt;=(X$4-0.125)),MROUND(0.25*Depths[[#This Row],[Gradient]],0.05),IF(AND((MAX(Depths[[#This Row],[From_Dp]],Depths[[#This Row],[To_Dp]])+Depths[[#This Row],[Bed_Depth]])&lt;=(X$4+0.125),(MIN(Depths[[#This Row],[From_Dp]],Depths[[#This Row],[To_Dp]])+Depths[[#This Row],[Bed_Depth]])&gt;=(X$4-0.125)),DATA[[#This Row],[Length]],IF(AND((MAX(Depths[[#This Row],[From_Dp]],Depths[[#This Row],[To_Dp]])+Depths[[#This Row],[Bed_Depth]])&gt;(X$4-0.125),(MIN(Depths[[#This Row],[From_Dp]],Depths[[#This Row],[To_Dp]])+Depths[[#This Row],[Bed_Depth]])&lt;=(X$4-0.125)),MROUND(((MAX(Depths[[#This Row],[From_Dp]],Depths[[#This Row],[To_Dp]])+Depths[[#This Row],[Bed_Depth]])-(X$4-0.125))*Depths[[#This Row],[Gradient]],0.05),IF(AND((MIN(Depths[[#This Row],[From_Dp]],Depths[[#This Row],[To_Dp]])+Depths[[#This Row],[Bed_Depth]])&lt;(X$4+0.125),(MAX(Depths[[#This Row],[From_Dp]],Depths[[#This Row],[To_Dp]])+Depths[[#This Row],[Bed_Depth]])&gt;=(X$4+0.125)),MROUND(((X$4+0.125)-(MIN(Depths[[#This Row],[From_Dp]],Depths[[#This Row],[To_Dp]])+Depths[[#This Row],[Bed_Depth]]))*Depths[[#This Row],[Gradient]],0.05),"")))))</f>
        <v/>
      </c>
      <c r="Y72" s="144" t="str">
        <f>IF(Depths[[#This Row],[TOTAL]],SUMIF(Depths[FLAG],Depths[[#This Row],[COUNT]]-1,Depths[Depth19]),IF(AND((MAX(Depths[[#This Row],[From_Dp]],Depths[[#This Row],[To_Dp]])+Depths[[#This Row],[Bed_Depth]])&gt;=(Y$4+0.125),(MIN(Depths[[#This Row],[From_Dp]],Depths[[#This Row],[To_Dp]])+Depths[[#This Row],[Bed_Depth]])&lt;=(Y$4-0.125)),MROUND(0.25*Depths[[#This Row],[Gradient]],0.05),IF(AND((MAX(Depths[[#This Row],[From_Dp]],Depths[[#This Row],[To_Dp]])+Depths[[#This Row],[Bed_Depth]])&lt;=(Y$4+0.125),(MIN(Depths[[#This Row],[From_Dp]],Depths[[#This Row],[To_Dp]])+Depths[[#This Row],[Bed_Depth]])&gt;=(Y$4-0.125)),DATA[[#This Row],[Length]],IF(AND((MAX(Depths[[#This Row],[From_Dp]],Depths[[#This Row],[To_Dp]])+Depths[[#This Row],[Bed_Depth]])&gt;(Y$4-0.125),(MIN(Depths[[#This Row],[From_Dp]],Depths[[#This Row],[To_Dp]])+Depths[[#This Row],[Bed_Depth]])&lt;=(Y$4-0.125)),MROUND(((MAX(Depths[[#This Row],[From_Dp]],Depths[[#This Row],[To_Dp]])+Depths[[#This Row],[Bed_Depth]])-(Y$4-0.125))*Depths[[#This Row],[Gradient]],0.05),IF(AND((MIN(Depths[[#This Row],[From_Dp]],Depths[[#This Row],[To_Dp]])+Depths[[#This Row],[Bed_Depth]])&lt;(Y$4+0.125),(MAX(Depths[[#This Row],[From_Dp]],Depths[[#This Row],[To_Dp]])+Depths[[#This Row],[Bed_Depth]])&gt;=(Y$4+0.125)),MROUND(((Y$4+0.125)-(MIN(Depths[[#This Row],[From_Dp]],Depths[[#This Row],[To_Dp]])+Depths[[#This Row],[Bed_Depth]]))*Depths[[#This Row],[Gradient]],0.05),"")))))</f>
        <v/>
      </c>
      <c r="Z72" s="144" t="str">
        <f>IF(Depths[[#This Row],[TOTAL]],SUMIF(Depths[FLAG],Depths[[#This Row],[COUNT]]-1,Depths[Depth20]),IF(AND((MAX(Depths[[#This Row],[From_Dp]],Depths[[#This Row],[To_Dp]])+Depths[[#This Row],[Bed_Depth]])&gt;=(Z$4+0.125),(MIN(Depths[[#This Row],[From_Dp]],Depths[[#This Row],[To_Dp]])+Depths[[#This Row],[Bed_Depth]])&lt;=(Z$4-0.125)),MROUND(0.25*Depths[[#This Row],[Gradient]],0.05),IF(AND((MAX(Depths[[#This Row],[From_Dp]],Depths[[#This Row],[To_Dp]])+Depths[[#This Row],[Bed_Depth]])&lt;=(Z$4+0.125),(MIN(Depths[[#This Row],[From_Dp]],Depths[[#This Row],[To_Dp]])+Depths[[#This Row],[Bed_Depth]])&gt;=(Z$4-0.125)),DATA[[#This Row],[Length]],IF(AND((MAX(Depths[[#This Row],[From_Dp]],Depths[[#This Row],[To_Dp]])+Depths[[#This Row],[Bed_Depth]])&gt;(Z$4-0.125),(MIN(Depths[[#This Row],[From_Dp]],Depths[[#This Row],[To_Dp]])+Depths[[#This Row],[Bed_Depth]])&lt;=(Z$4-0.125)),MROUND(((MAX(Depths[[#This Row],[From_Dp]],Depths[[#This Row],[To_Dp]])+Depths[[#This Row],[Bed_Depth]])-(Z$4-0.125))*Depths[[#This Row],[Gradient]],0.05),IF(AND((MIN(Depths[[#This Row],[From_Dp]],Depths[[#This Row],[To_Dp]])+Depths[[#This Row],[Bed_Depth]])&lt;(Z$4+0.125),(MAX(Depths[[#This Row],[From_Dp]],Depths[[#This Row],[To_Dp]])+Depths[[#This Row],[Bed_Depth]])&gt;=(Z$4+0.125)),MROUND(((Z$4+0.125)-(MIN(Depths[[#This Row],[From_Dp]],Depths[[#This Row],[To_Dp]])+Depths[[#This Row],[Bed_Depth]]))*Depths[[#This Row],[Gradient]],0.05),"")))))</f>
        <v/>
      </c>
      <c r="AA72" s="144" t="str">
        <f>IF(Depths[[#This Row],[TOTAL]],SUMIF(Depths[FLAG],Depths[[#This Row],[COUNT]]-1,Depths[Depth21]),IF(AND((MAX(Depths[[#This Row],[From_Dp]],Depths[[#This Row],[To_Dp]])+Depths[[#This Row],[Bed_Depth]])&gt;=(AA$4+0.125),(MIN(Depths[[#This Row],[From_Dp]],Depths[[#This Row],[To_Dp]])+Depths[[#This Row],[Bed_Depth]])&lt;=(AA$4-0.125)),MROUND(0.25*Depths[[#This Row],[Gradient]],0.05),IF(AND((MAX(Depths[[#This Row],[From_Dp]],Depths[[#This Row],[To_Dp]])+Depths[[#This Row],[Bed_Depth]])&lt;=(AA$4+0.125),(MIN(Depths[[#This Row],[From_Dp]],Depths[[#This Row],[To_Dp]])+Depths[[#This Row],[Bed_Depth]])&gt;=(AA$4-0.125)),DATA[[#This Row],[Length]],IF(AND((MAX(Depths[[#This Row],[From_Dp]],Depths[[#This Row],[To_Dp]])+Depths[[#This Row],[Bed_Depth]])&gt;(AA$4-0.125),(MIN(Depths[[#This Row],[From_Dp]],Depths[[#This Row],[To_Dp]])+Depths[[#This Row],[Bed_Depth]])&lt;=(AA$4-0.125)),MROUND(((MAX(Depths[[#This Row],[From_Dp]],Depths[[#This Row],[To_Dp]])+Depths[[#This Row],[Bed_Depth]])-(AA$4-0.125))*Depths[[#This Row],[Gradient]],0.05),IF(AND((MIN(Depths[[#This Row],[From_Dp]],Depths[[#This Row],[To_Dp]])+Depths[[#This Row],[Bed_Depth]])&lt;(AA$4+0.125),(MAX(Depths[[#This Row],[From_Dp]],Depths[[#This Row],[To_Dp]])+Depths[[#This Row],[Bed_Depth]])&gt;=(AA$4+0.125)),MROUND(((AA$4+0.125)-(MIN(Depths[[#This Row],[From_Dp]],Depths[[#This Row],[To_Dp]])+Depths[[#This Row],[Bed_Depth]]))*Depths[[#This Row],[Gradient]],0.05),"")))))</f>
        <v/>
      </c>
      <c r="AB72" s="144" t="str">
        <f>IF(Depths[[#This Row],[TOTAL]],SUMIF(Depths[FLAG],Depths[[#This Row],[COUNT]]-1,Depths[Depth22]),IF(AND((MAX(Depths[[#This Row],[From_Dp]],Depths[[#This Row],[To_Dp]])+Depths[[#This Row],[Bed_Depth]])&gt;=(AB$4+0.125),(MIN(Depths[[#This Row],[From_Dp]],Depths[[#This Row],[To_Dp]])+Depths[[#This Row],[Bed_Depth]])&lt;=(AB$4-0.125)),MROUND(0.25*Depths[[#This Row],[Gradient]],0.05),IF(AND((MAX(Depths[[#This Row],[From_Dp]],Depths[[#This Row],[To_Dp]])+Depths[[#This Row],[Bed_Depth]])&lt;=(AB$4+0.125),(MIN(Depths[[#This Row],[From_Dp]],Depths[[#This Row],[To_Dp]])+Depths[[#This Row],[Bed_Depth]])&gt;=(AB$4-0.125)),DATA[[#This Row],[Length]],IF(AND((MAX(Depths[[#This Row],[From_Dp]],Depths[[#This Row],[To_Dp]])+Depths[[#This Row],[Bed_Depth]])&gt;(AB$4-0.125),(MIN(Depths[[#This Row],[From_Dp]],Depths[[#This Row],[To_Dp]])+Depths[[#This Row],[Bed_Depth]])&lt;=(AB$4-0.125)),MROUND(((MAX(Depths[[#This Row],[From_Dp]],Depths[[#This Row],[To_Dp]])+Depths[[#This Row],[Bed_Depth]])-(AB$4-0.125))*Depths[[#This Row],[Gradient]],0.05),IF(AND((MIN(Depths[[#This Row],[From_Dp]],Depths[[#This Row],[To_Dp]])+Depths[[#This Row],[Bed_Depth]])&lt;(AB$4+0.125),(MAX(Depths[[#This Row],[From_Dp]],Depths[[#This Row],[To_Dp]])+Depths[[#This Row],[Bed_Depth]])&gt;=(AB$4+0.125)),MROUND(((AB$4+0.125)-(MIN(Depths[[#This Row],[From_Dp]],Depths[[#This Row],[To_Dp]])+Depths[[#This Row],[Bed_Depth]]))*Depths[[#This Row],[Gradient]],0.05),"")))))</f>
        <v/>
      </c>
      <c r="AC72" s="144" t="str">
        <f>IF(Depths[[#This Row],[TOTAL]],SUMIF(Depths[FLAG],Depths[[#This Row],[COUNT]]-1,Depths[Depth23]),IF(AND((MAX(Depths[[#This Row],[From_Dp]],Depths[[#This Row],[To_Dp]])+Depths[[#This Row],[Bed_Depth]])&gt;=(AC$4+0.125),(MIN(Depths[[#This Row],[From_Dp]],Depths[[#This Row],[To_Dp]])+Depths[[#This Row],[Bed_Depth]])&lt;=(AC$4-0.125)),MROUND(0.25*Depths[[#This Row],[Gradient]],0.05),IF(AND((MAX(Depths[[#This Row],[From_Dp]],Depths[[#This Row],[To_Dp]])+Depths[[#This Row],[Bed_Depth]])&lt;=(AC$4+0.125),(MIN(Depths[[#This Row],[From_Dp]],Depths[[#This Row],[To_Dp]])+Depths[[#This Row],[Bed_Depth]])&gt;=(AC$4-0.125)),DATA[[#This Row],[Length]],IF(AND((MAX(Depths[[#This Row],[From_Dp]],Depths[[#This Row],[To_Dp]])+Depths[[#This Row],[Bed_Depth]])&gt;(AC$4-0.125),(MIN(Depths[[#This Row],[From_Dp]],Depths[[#This Row],[To_Dp]])+Depths[[#This Row],[Bed_Depth]])&lt;=(AC$4-0.125)),MROUND(((MAX(Depths[[#This Row],[From_Dp]],Depths[[#This Row],[To_Dp]])+Depths[[#This Row],[Bed_Depth]])-(AC$4-0.125))*Depths[[#This Row],[Gradient]],0.05),IF(AND((MIN(Depths[[#This Row],[From_Dp]],Depths[[#This Row],[To_Dp]])+Depths[[#This Row],[Bed_Depth]])&lt;(AC$4+0.125),(MAX(Depths[[#This Row],[From_Dp]],Depths[[#This Row],[To_Dp]])+Depths[[#This Row],[Bed_Depth]])&gt;=(AC$4+0.125)),MROUND(((AC$4+0.125)-(MIN(Depths[[#This Row],[From_Dp]],Depths[[#This Row],[To_Dp]])+Depths[[#This Row],[Bed_Depth]]))*Depths[[#This Row],[Gradient]],0.05),"")))))</f>
        <v/>
      </c>
      <c r="AD72" s="145"/>
      <c r="AE72" s="146"/>
      <c r="AF72" s="147">
        <f>DATA[[#This Row],[Bedding]]/1000</f>
        <v>0</v>
      </c>
      <c r="AG72" s="172" t="str">
        <f>IF(OR(Depths[[#This Row],[From_Dp]]=0,Depths[[#This Row],[To_Dp]]=0),"",DATA[[#This Row],[Length]]/ABS(Depths[[#This Row],[To_Dp]]-Depths[[#This Row],[From_Dp]]))</f>
        <v/>
      </c>
      <c r="AH72" s="148" t="b">
        <f>IF(OR(DATA[[#This Row],[TOTAL]],COUNTIF(Depths[[#This Row],[From]:[Dia]],"*total*")&gt;0),TRUE,FALSE)</f>
        <v>0</v>
      </c>
      <c r="AI72" s="148">
        <f>IF(Depths[[#This Row],[TOTAL]],"",Depths[[#This Row],[COUNT]])</f>
        <v>3</v>
      </c>
      <c r="AJ72" s="149">
        <f>IF(Depths[[#This Row],[TOTAL]],$AJ71+1,IF($AJ71="COUNT",1,$AJ71))</f>
        <v>3</v>
      </c>
      <c r="AK72" s="148">
        <f>ABS(DATA[[#This Row],[Length]]-Depths[[#This Row],[Length]])</f>
        <v>0</v>
      </c>
    </row>
  </sheetData>
  <mergeCells count="14">
    <mergeCell ref="L1:M1"/>
    <mergeCell ref="N1:Q1"/>
    <mergeCell ref="D1:G1"/>
    <mergeCell ref="D2:G2"/>
    <mergeCell ref="H1:I1"/>
    <mergeCell ref="H2:I2"/>
    <mergeCell ref="J1:K1"/>
    <mergeCell ref="J2:K2"/>
    <mergeCell ref="AH3:AJ3"/>
    <mergeCell ref="A3:D3"/>
    <mergeCell ref="E3:E4"/>
    <mergeCell ref="F3:F4"/>
    <mergeCell ref="AD3:AE3"/>
    <mergeCell ref="G3:AC3"/>
  </mergeCells>
  <conditionalFormatting sqref="AO4:XFD4 AK4:AL4">
    <cfRule type="expression" dxfId="172" priority="6">
      <formula>IF($C5="TOTAL",1,0)</formula>
    </cfRule>
  </conditionalFormatting>
  <conditionalFormatting sqref="A5:AK72">
    <cfRule type="expression" dxfId="171" priority="7">
      <formula>$AH5</formula>
    </cfRule>
  </conditionalFormatting>
  <pageMargins left="0.31496062992125984" right="0.31496062992125984" top="0.55118110236220474" bottom="0.55118110236220474" header="0.31496062992125984" footer="0.31496062992125984"/>
  <pageSetup paperSize="9" orientation="landscape" r:id="rId1"/>
  <headerFooter>
    <oddFooter>&amp;L&amp;F&amp;CPage &amp;P of &amp;N&amp;RVer: 19.12</oddFooter>
  </headerFooter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H72"/>
  <sheetViews>
    <sheetView zoomScaleNormal="100" zoomScaleSheetLayoutView="145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10" sqref="A10"/>
    </sheetView>
  </sheetViews>
  <sheetFormatPr defaultColWidth="9.140625" defaultRowHeight="12.75" x14ac:dyDescent="0.2"/>
  <cols>
    <col min="1" max="1" width="17.7109375" style="12" bestFit="1" customWidth="1"/>
    <col min="2" max="2" width="8.85546875" style="12" bestFit="1" customWidth="1"/>
    <col min="3" max="3" width="4" style="9" bestFit="1" customWidth="1"/>
    <col min="4" max="4" width="7.5703125" style="5" customWidth="1"/>
    <col min="5" max="5" width="9" style="5" customWidth="1"/>
    <col min="6" max="6" width="7" style="5" customWidth="1"/>
    <col min="7" max="7" width="6.140625" style="5" customWidth="1"/>
    <col min="8" max="11" width="4" style="5" bestFit="1" customWidth="1"/>
    <col min="12" max="19" width="4" style="5" customWidth="1"/>
    <col min="20" max="27" width="5.28515625" style="5" customWidth="1"/>
    <col min="28" max="28" width="8" style="9" bestFit="1" customWidth="1"/>
    <col min="29" max="29" width="9.140625" style="9" bestFit="1" customWidth="1"/>
    <col min="30" max="30" width="10.28515625" style="9" bestFit="1" customWidth="1"/>
    <col min="31" max="31" width="7.7109375" style="9" customWidth="1"/>
    <col min="32" max="32" width="7.28515625" style="9" bestFit="1" customWidth="1"/>
    <col min="33" max="33" width="5.85546875" style="6" bestFit="1" customWidth="1"/>
    <col min="34" max="34" width="7.7109375" style="6" bestFit="1" customWidth="1"/>
    <col min="35" max="16384" width="9.140625" style="7"/>
  </cols>
  <sheetData>
    <row r="1" spans="1:34" ht="15.75" customHeight="1" x14ac:dyDescent="0.2">
      <c r="A1" s="10"/>
      <c r="C1" s="18" t="s">
        <v>0</v>
      </c>
      <c r="D1" s="12" t="str">
        <f>Job_Title</f>
        <v>Site Title</v>
      </c>
      <c r="E1" s="12"/>
      <c r="G1" s="19" t="s">
        <v>1</v>
      </c>
      <c r="H1" s="200">
        <f>Job_No</f>
        <v>9999</v>
      </c>
      <c r="I1" s="200"/>
      <c r="J1" s="200"/>
      <c r="K1" s="200"/>
      <c r="Q1" s="20" t="s">
        <v>2</v>
      </c>
      <c r="R1" s="196">
        <f>Data_Date</f>
        <v>43816</v>
      </c>
      <c r="S1" s="196"/>
      <c r="T1" s="196"/>
      <c r="U1" s="196"/>
      <c r="V1" s="196"/>
      <c r="W1" s="196"/>
      <c r="X1" s="196"/>
      <c r="Y1" s="196"/>
      <c r="Z1" s="196"/>
      <c r="AA1" s="196"/>
      <c r="AB1" s="14"/>
      <c r="AC1" s="14"/>
      <c r="AD1" s="14"/>
      <c r="AE1" s="15"/>
      <c r="AF1" s="14"/>
    </row>
    <row r="2" spans="1:34" ht="15.75" customHeight="1" thickBot="1" x14ac:dyDescent="0.25">
      <c r="A2" s="10"/>
      <c r="C2" s="18" t="s">
        <v>64</v>
      </c>
      <c r="D2" s="13" t="str">
        <f>Dwgs</f>
        <v>Drawing No - Rev</v>
      </c>
      <c r="E2" s="12"/>
      <c r="G2" s="19" t="s">
        <v>65</v>
      </c>
      <c r="H2" s="208" t="str">
        <f>Revision</f>
        <v>-</v>
      </c>
      <c r="I2" s="208"/>
      <c r="J2" s="208"/>
      <c r="K2" s="208"/>
      <c r="M2" s="19"/>
      <c r="P2" s="14"/>
      <c r="Q2" s="14"/>
      <c r="R2" s="15"/>
      <c r="S2" s="15"/>
      <c r="T2" s="15"/>
      <c r="U2" s="15"/>
      <c r="V2" s="14"/>
      <c r="W2" s="14"/>
      <c r="X2" s="14"/>
      <c r="Y2" s="14"/>
      <c r="Z2" s="14"/>
      <c r="AA2" s="14"/>
      <c r="AB2" s="14"/>
      <c r="AC2" s="14"/>
      <c r="AD2" s="14"/>
      <c r="AE2" s="15"/>
      <c r="AF2" s="14"/>
    </row>
    <row r="3" spans="1:34" ht="13.15" customHeight="1" x14ac:dyDescent="0.2">
      <c r="A3" s="185" t="s">
        <v>32</v>
      </c>
      <c r="B3" s="186"/>
      <c r="C3" s="188" t="s">
        <v>27</v>
      </c>
      <c r="D3" s="210" t="s">
        <v>28</v>
      </c>
      <c r="E3" s="212" t="s">
        <v>68</v>
      </c>
      <c r="F3" s="202" t="s">
        <v>69</v>
      </c>
      <c r="G3" s="204" t="s">
        <v>70</v>
      </c>
      <c r="H3" s="192" t="s">
        <v>33</v>
      </c>
      <c r="I3" s="193"/>
      <c r="J3" s="193"/>
      <c r="K3" s="194"/>
      <c r="L3" s="192" t="s">
        <v>39</v>
      </c>
      <c r="M3" s="193"/>
      <c r="N3" s="193"/>
      <c r="O3" s="194"/>
      <c r="P3" s="192" t="s">
        <v>40</v>
      </c>
      <c r="Q3" s="193"/>
      <c r="R3" s="193"/>
      <c r="S3" s="194"/>
      <c r="T3" s="212" t="s">
        <v>15</v>
      </c>
      <c r="U3" s="202" t="s">
        <v>16</v>
      </c>
      <c r="V3" s="206" t="s">
        <v>11</v>
      </c>
      <c r="W3" s="202" t="s">
        <v>22</v>
      </c>
      <c r="X3" s="202" t="s">
        <v>23</v>
      </c>
      <c r="Y3" s="202" t="s">
        <v>63</v>
      </c>
      <c r="Z3" s="202" t="s">
        <v>76</v>
      </c>
      <c r="AA3" s="204" t="s">
        <v>77</v>
      </c>
      <c r="AB3" s="182" t="s">
        <v>79</v>
      </c>
      <c r="AC3" s="184"/>
      <c r="AD3" s="182" t="s">
        <v>78</v>
      </c>
      <c r="AE3" s="184"/>
      <c r="AF3" s="183" t="s">
        <v>62</v>
      </c>
      <c r="AG3" s="183"/>
      <c r="AH3" s="184"/>
    </row>
    <row r="4" spans="1:34" ht="14.45" customHeight="1" thickBot="1" x14ac:dyDescent="0.25">
      <c r="A4" s="63" t="s">
        <v>7</v>
      </c>
      <c r="B4" s="8" t="s">
        <v>26</v>
      </c>
      <c r="C4" s="209"/>
      <c r="D4" s="211"/>
      <c r="E4" s="213"/>
      <c r="F4" s="203"/>
      <c r="G4" s="205"/>
      <c r="H4" s="44">
        <v>100</v>
      </c>
      <c r="I4" s="35">
        <v>150</v>
      </c>
      <c r="J4" s="35">
        <v>225</v>
      </c>
      <c r="K4" s="45">
        <v>300</v>
      </c>
      <c r="L4" s="44">
        <v>100</v>
      </c>
      <c r="M4" s="35">
        <v>150</v>
      </c>
      <c r="N4" s="35">
        <v>225</v>
      </c>
      <c r="O4" s="45">
        <v>300</v>
      </c>
      <c r="P4" s="46">
        <v>15</v>
      </c>
      <c r="Q4" s="36">
        <v>30</v>
      </c>
      <c r="R4" s="36">
        <v>45</v>
      </c>
      <c r="S4" s="47">
        <v>90</v>
      </c>
      <c r="T4" s="213"/>
      <c r="U4" s="203"/>
      <c r="V4" s="207"/>
      <c r="W4" s="203"/>
      <c r="X4" s="203"/>
      <c r="Y4" s="203"/>
      <c r="Z4" s="203"/>
      <c r="AA4" s="205"/>
      <c r="AB4" s="28" t="s">
        <v>34</v>
      </c>
      <c r="AC4" s="29" t="s">
        <v>71</v>
      </c>
      <c r="AD4" s="28" t="s">
        <v>54</v>
      </c>
      <c r="AE4" s="29" t="s">
        <v>72</v>
      </c>
      <c r="AF4" s="30" t="s">
        <v>51</v>
      </c>
      <c r="AG4" s="30" t="s">
        <v>52</v>
      </c>
      <c r="AH4" s="29" t="s">
        <v>53</v>
      </c>
    </row>
    <row r="5" spans="1:34" x14ac:dyDescent="0.2">
      <c r="A5" s="90" t="str">
        <f>DATA[[#This Row],[From_ID]]&amp;IF(COUNTA(DATA[[#This Row],[From_ID2]]),"/"&amp;DATA[[#This Row],[From_ID2]],)</f>
        <v>Storm Water</v>
      </c>
      <c r="B5" s="90">
        <f>DATA[[#This Row],[To_ID]]</f>
        <v>0</v>
      </c>
      <c r="C5" s="119">
        <f>DATA[[#This Row],[Dia]]</f>
        <v>0</v>
      </c>
      <c r="D5" s="22">
        <f>IF(Material[[#This Row],[TOTAL]],SUMIF(Material[FLAG],Material[[#This Row],[COUNT]]-1,Material[Length]),DATA[[#This Row],[Length]])</f>
        <v>0</v>
      </c>
      <c r="E5" s="37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5" s="112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" s="107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5" s="113">
        <f>IF(Material[[#This Row],[TOTAL]],SUMIF(Material[FLAG],Material[[#This Row],[COUNT]]-1,Material[ObJun4]),COUNTIF(Material[JUN_ID],CONCATENATE(Material[[#This Row],[From]],"/",Material[[#This Row],[To]],H$4,"JunOb")))</f>
        <v>0</v>
      </c>
      <c r="I5" s="114">
        <f>IF(Material[[#This Row],[TOTAL]],SUMIF(Material[FLAG],Material[[#This Row],[COUNT]]-1,Material[ObJun6]),COUNTIF(Material[JUN_ID],CONCATENATE(Material[[#This Row],[From]],"/",Material[[#This Row],[To]],I$4,"JunOb")))</f>
        <v>0</v>
      </c>
      <c r="J5" s="114">
        <f>IF(Material[[#This Row],[TOTAL]],SUMIF(Material[FLAG],Material[[#This Row],[COUNT]]-1,Material[ObJun9]),COUNTIF(Material[JUN_ID],CONCATENATE(Material[[#This Row],[From]],"/",Material[[#This Row],[To]],J$4,"JunOb")))</f>
        <v>0</v>
      </c>
      <c r="K5" s="115">
        <f>IF(Material[[#This Row],[TOTAL]],SUMIF(Material[FLAG],Material[[#This Row],[COUNT]]-1,Material[ObJun12]),COUNTIF(Material[JUN_ID],CONCATENATE(Material[[#This Row],[From]],"/",Material[[#This Row],[To]],K$4,"JunOb")))</f>
        <v>0</v>
      </c>
      <c r="L5" s="113">
        <f>IF(Material[[#This Row],[TOTAL]],SUMIF(Material[FLAG],Material[[#This Row],[COUNT]]-1,Material[SqJun4]),COUNTIF(Material[JUN_ID],CONCATENATE(Material[[#This Row],[From]],"/",Material[[#This Row],[To]],L$4,"JunSq")))</f>
        <v>0</v>
      </c>
      <c r="M5" s="114">
        <f>IF(Material[[#This Row],[TOTAL]],SUMIF(Material[FLAG],Material[[#This Row],[COUNT]]-1,Material[SqJun6]),COUNTIF(Material[JUN_ID],CONCATENATE(Material[[#This Row],[From]],"/",Material[[#This Row],[To]],M$4,"JunSq")))</f>
        <v>0</v>
      </c>
      <c r="N5" s="114">
        <f>IF(Material[[#This Row],[TOTAL]],SUMIF(Material[FLAG],Material[[#This Row],[COUNT]]-1,Material[SqJun9]),COUNTIF(Material[JUN_ID],CONCATENATE(Material[[#This Row],[From]],"/",Material[[#This Row],[To]],N$4,"JunSq")))</f>
        <v>0</v>
      </c>
      <c r="O5" s="115">
        <f>IF(Material[[#This Row],[TOTAL]],SUMIF(Material[FLAG],Material[[#This Row],[COUNT]]-1,Material[SqJun12]),COUNTIF(Material[JUN_ID],CONCATENATE(Material[[#This Row],[From]],"/",Material[[#This Row],[To]],O$4,"JunSq")))</f>
        <v>0</v>
      </c>
      <c r="P5" s="39" t="str">
        <f>IF(Material[[#This Row],[TOTAL]],SUMIF(Material[FLAG],Material[[#This Row],[COUNT]]-1,Material[Bend15]),"")</f>
        <v/>
      </c>
      <c r="Q5" s="40" t="str">
        <f>IF(Material[[#This Row],[TOTAL]],SUMIF(Material[FLAG],Material[[#This Row],[COUNT]]-1,Material[Bend30]),"")</f>
        <v/>
      </c>
      <c r="R5" s="40" t="str">
        <f>IF(Material[[#This Row],[TOTAL]],SUMIF(Material[FLAG],Material[[#This Row],[COUNT]]-1,Material[Bend45]),"")</f>
        <v/>
      </c>
      <c r="S5" s="41" t="str">
        <f>IF(Material[[#This Row],[TOTAL]],SUMIF(Material[FLAG],Material[[#This Row],[COUNT]]-1,Material[Bend90]),"")</f>
        <v/>
      </c>
      <c r="T5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5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" s="48" t="str">
        <f>DATA[[#This Row],[Product]]</f>
        <v>Plastic</v>
      </c>
      <c r="AC5" s="49">
        <f>DATA[[#This Row],[Fnd_Xd]]</f>
        <v>0</v>
      </c>
      <c r="AD5" s="56" t="b">
        <f>IF(ISNUMBER(SEARCH("jun",DATA[[#This Row],[From_Type]])),TRUE,FALSE)</f>
        <v>0</v>
      </c>
      <c r="AE5" s="57" t="str">
        <f>IF(Material[[#This Row],[JUNCTION]],CONCATENATE(Material[[#This Row],[From]],Material[[#This Row],[Dia]],DATA[[#This Row],[From_Type]]),"")</f>
        <v/>
      </c>
      <c r="AF5" s="52" t="b">
        <f>IF(OR(DATA[[#This Row],[TOTAL]],COUNTIF(Material[[#This Row],[From]:[Dia]],"*total*")&gt;0),TRUE,FALSE)</f>
        <v>0</v>
      </c>
      <c r="AG5" s="52">
        <f>IF(Material[[#This Row],[TOTAL]],"",Material[[#This Row],[COUNT]])</f>
        <v>1</v>
      </c>
      <c r="AH5" s="53">
        <f>IF(Material[[#This Row],[TOTAL]],$AH4+1,IF($AH4="COUNT",1,$AH4))</f>
        <v>1</v>
      </c>
    </row>
    <row r="6" spans="1:34" x14ac:dyDescent="0.2">
      <c r="A6" s="90" t="str">
        <f>DATA[[#This Row],[From_ID]]&amp;IF(COUNTA(DATA[[#This Row],[From_ID2]]),"/"&amp;DATA[[#This Row],[From_ID2]],)</f>
        <v>SWMH03</v>
      </c>
      <c r="B6" s="90" t="str">
        <f>DATA[[#This Row],[To_ID]]</f>
        <v>SWMH04</v>
      </c>
      <c r="C6" s="105">
        <f>DATA[[#This Row],[Dia]]</f>
        <v>100</v>
      </c>
      <c r="D6" s="23">
        <f>IF(Material[[#This Row],[TOTAL]],SUMIF(Material[FLAG],Material[[#This Row],[COUNT]]-1,Material[Length]),DATA[[#This Row],[Length]])</f>
        <v>16.3</v>
      </c>
      <c r="E6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5.5</v>
      </c>
      <c r="F6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6" s="109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6" s="116">
        <f>IF(Material[[#This Row],[TOTAL]],SUMIF(Material[FLAG],Material[[#This Row],[COUNT]]-1,Material[ObJun4]),COUNTIF(Material[JUN_ID],CONCATENATE(Material[[#This Row],[From]],"/",Material[[#This Row],[To]],H$4,"JunOb")))</f>
        <v>1</v>
      </c>
      <c r="I6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6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6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6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6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6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6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6" s="42" t="str">
        <f>IF(Material[[#This Row],[TOTAL]],SUMIF(Material[FLAG],Material[[#This Row],[COUNT]]-1,Material[Bend15]),"")</f>
        <v/>
      </c>
      <c r="Q6" s="21" t="str">
        <f>IF(Material[[#This Row],[TOTAL]],SUMIF(Material[FLAG],Material[[#This Row],[COUNT]]-1,Material[Bend30]),"")</f>
        <v/>
      </c>
      <c r="R6" s="21" t="str">
        <f>IF(Material[[#This Row],[TOTAL]],SUMIF(Material[FLAG],Material[[#This Row],[COUNT]]-1,Material[Bend45]),"")</f>
        <v/>
      </c>
      <c r="S6" s="43" t="str">
        <f>IF(Material[[#This Row],[TOTAL]],SUMIF(Material[FLAG],Material[[#This Row],[COUNT]]-1,Material[Bend90]),"")</f>
        <v/>
      </c>
      <c r="T6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" s="50" t="str">
        <f>DATA[[#This Row],[Product]]</f>
        <v>Plastic</v>
      </c>
      <c r="AC6" s="51">
        <f>DATA[[#This Row],[Fnd_Xd]]</f>
        <v>0</v>
      </c>
      <c r="AD6" s="58" t="b">
        <f>IF(ISNUMBER(SEARCH("jun",DATA[[#This Row],[From_Type]])),TRUE,FALSE)</f>
        <v>0</v>
      </c>
      <c r="AE6" s="59" t="str">
        <f>IF(Material[[#This Row],[JUNCTION]],CONCATENATE(Material[[#This Row],[From]],Material[[#This Row],[Dia]],DATA[[#This Row],[From_Type]]),"")</f>
        <v/>
      </c>
      <c r="AF6" s="52" t="b">
        <f>IF(OR(DATA[[#This Row],[TOTAL]],COUNTIF(Material[[#This Row],[From]:[Dia]],"*total*")&gt;0),TRUE,FALSE)</f>
        <v>0</v>
      </c>
      <c r="AG6" s="52">
        <f>IF(Material[[#This Row],[TOTAL]],"",Material[[#This Row],[COUNT]])</f>
        <v>1</v>
      </c>
      <c r="AH6" s="54">
        <f>IF(Material[[#This Row],[TOTAL]],$AH5+1,IF($AH5="COUNT",1,$AH5))</f>
        <v>1</v>
      </c>
    </row>
    <row r="7" spans="1:34" x14ac:dyDescent="0.2">
      <c r="A7" s="90" t="str">
        <f>DATA[[#This Row],[From_ID]]&amp;IF(COUNTA(DATA[[#This Row],[From_ID2]]),"/"&amp;DATA[[#This Row],[From_ID2]],)</f>
        <v>SWMH04</v>
      </c>
      <c r="B7" s="90" t="str">
        <f>DATA[[#This Row],[To_ID]]</f>
        <v>Aco</v>
      </c>
      <c r="C7" s="105">
        <f>DATA[[#This Row],[Dia]]</f>
        <v>100</v>
      </c>
      <c r="D7" s="23">
        <f>IF(Material[[#This Row],[TOTAL]],SUMIF(Material[FLAG],Material[[#This Row],[COUNT]]-1,Material[Length]),DATA[[#This Row],[Length]])</f>
        <v>16.399999999999999</v>
      </c>
      <c r="E7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5.5</v>
      </c>
      <c r="F7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7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7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7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7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7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7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7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7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7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7" s="42" t="str">
        <f>IF(Material[[#This Row],[TOTAL]],SUMIF(Material[FLAG],Material[[#This Row],[COUNT]]-1,Material[Bend15]),"")</f>
        <v/>
      </c>
      <c r="Q7" s="21" t="str">
        <f>IF(Material[[#This Row],[TOTAL]],SUMIF(Material[FLAG],Material[[#This Row],[COUNT]]-1,Material[Bend30]),"")</f>
        <v/>
      </c>
      <c r="R7" s="21" t="str">
        <f>IF(Material[[#This Row],[TOTAL]],SUMIF(Material[FLAG],Material[[#This Row],[COUNT]]-1,Material[Bend45]),"")</f>
        <v/>
      </c>
      <c r="S7" s="43" t="str">
        <f>IF(Material[[#This Row],[TOTAL]],SUMIF(Material[FLAG],Material[[#This Row],[COUNT]]-1,Material[Bend90]),"")</f>
        <v/>
      </c>
      <c r="T7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7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" s="50" t="str">
        <f>DATA[[#This Row],[Product]]</f>
        <v>Plastic</v>
      </c>
      <c r="AC7" s="51">
        <f>DATA[[#This Row],[Fnd_Xd]]</f>
        <v>0</v>
      </c>
      <c r="AD7" s="58" t="b">
        <f>IF(ISNUMBER(SEARCH("jun",DATA[[#This Row],[From_Type]])),TRUE,FALSE)</f>
        <v>0</v>
      </c>
      <c r="AE7" s="59" t="str">
        <f>IF(Material[[#This Row],[JUNCTION]],CONCATENATE(Material[[#This Row],[From]],Material[[#This Row],[Dia]],DATA[[#This Row],[From_Type]]),"")</f>
        <v/>
      </c>
      <c r="AF7" s="52" t="b">
        <f>IF(OR(DATA[[#This Row],[TOTAL]],COUNTIF(Material[[#This Row],[From]:[Dia]],"*total*")&gt;0),TRUE,FALSE)</f>
        <v>0</v>
      </c>
      <c r="AG7" s="52">
        <f>IF(Material[[#This Row],[TOTAL]],"",Material[[#This Row],[COUNT]])</f>
        <v>1</v>
      </c>
      <c r="AH7" s="54">
        <f>IF(Material[[#This Row],[TOTAL]],$AH6+1,IF($AH6="COUNT",1,$AH6))</f>
        <v>1</v>
      </c>
    </row>
    <row r="8" spans="1:34" x14ac:dyDescent="0.2">
      <c r="A8" s="90" t="str">
        <f>DATA[[#This Row],[From_ID]]&amp;IF(COUNTA(DATA[[#This Row],[From_ID2]]),"/"&amp;DATA[[#This Row],[From_ID2]],)</f>
        <v>SWMH05</v>
      </c>
      <c r="B8" s="90" t="str">
        <f>DATA[[#This Row],[To_ID]]</f>
        <v>Aco</v>
      </c>
      <c r="C8" s="105">
        <f>DATA[[#This Row],[Dia]]</f>
        <v>100</v>
      </c>
      <c r="D8" s="23">
        <f>IF(Material[[#This Row],[TOTAL]],SUMIF(Material[FLAG],Material[[#This Row],[COUNT]]-1,Material[Length]),DATA[[#This Row],[Length]])</f>
        <v>12.6</v>
      </c>
      <c r="E8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4.5</v>
      </c>
      <c r="F8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8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8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8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8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8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8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8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8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8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8" s="42" t="str">
        <f>IF(Material[[#This Row],[TOTAL]],SUMIF(Material[FLAG],Material[[#This Row],[COUNT]]-1,Material[Bend15]),"")</f>
        <v/>
      </c>
      <c r="Q8" s="21" t="str">
        <f>IF(Material[[#This Row],[TOTAL]],SUMIF(Material[FLAG],Material[[#This Row],[COUNT]]-1,Material[Bend30]),"")</f>
        <v/>
      </c>
      <c r="R8" s="21" t="str">
        <f>IF(Material[[#This Row],[TOTAL]],SUMIF(Material[FLAG],Material[[#This Row],[COUNT]]-1,Material[Bend45]),"")</f>
        <v/>
      </c>
      <c r="S8" s="43" t="str">
        <f>IF(Material[[#This Row],[TOTAL]],SUMIF(Material[FLAG],Material[[#This Row],[COUNT]]-1,Material[Bend90]),"")</f>
        <v/>
      </c>
      <c r="T8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8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8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8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8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8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8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8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8" s="50" t="str">
        <f>DATA[[#This Row],[Product]]</f>
        <v>Plastic</v>
      </c>
      <c r="AC8" s="51">
        <f>DATA[[#This Row],[Fnd_Xd]]</f>
        <v>0</v>
      </c>
      <c r="AD8" s="58" t="b">
        <f>IF(ISNUMBER(SEARCH("jun",DATA[[#This Row],[From_Type]])),TRUE,FALSE)</f>
        <v>0</v>
      </c>
      <c r="AE8" s="59" t="str">
        <f>IF(Material[[#This Row],[JUNCTION]],CONCATENATE(Material[[#This Row],[From]],Material[[#This Row],[Dia]],DATA[[#This Row],[From_Type]]),"")</f>
        <v/>
      </c>
      <c r="AF8" s="52" t="b">
        <f>IF(OR(DATA[[#This Row],[TOTAL]],COUNTIF(Material[[#This Row],[From]:[Dia]],"*total*")&gt;0),TRUE,FALSE)</f>
        <v>0</v>
      </c>
      <c r="AG8" s="52">
        <f>IF(Material[[#This Row],[TOTAL]],"",Material[[#This Row],[COUNT]])</f>
        <v>1</v>
      </c>
      <c r="AH8" s="54">
        <f>IF(Material[[#This Row],[TOTAL]],$AH7+1,IF($AH7="COUNT",1,$AH7))</f>
        <v>1</v>
      </c>
    </row>
    <row r="9" spans="1:34" x14ac:dyDescent="0.2">
      <c r="A9" s="17" t="str">
        <f>DATA[[#This Row],[From_ID]]&amp;IF(COUNTA(DATA[[#This Row],[From_ID2]]),"/"&amp;DATA[[#This Row],[From_ID2]],)</f>
        <v>SWMH06</v>
      </c>
      <c r="B9" s="17" t="str">
        <f>DATA[[#This Row],[To_ID]]</f>
        <v>SWMH12</v>
      </c>
      <c r="C9" s="106">
        <f>DATA[[#This Row],[Dia]]</f>
        <v>100</v>
      </c>
      <c r="D9" s="24">
        <f>IF(Material[[#This Row],[TOTAL]],SUMIF(Material[FLAG],Material[[#This Row],[COUNT]]-1,Material[Length]),DATA[[#This Row],[Length]])</f>
        <v>1.75</v>
      </c>
      <c r="E9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9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9" s="109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9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9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9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9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9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9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9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9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9" s="42" t="str">
        <f>IF(Material[[#This Row],[TOTAL]],SUMIF(Material[FLAG],Material[[#This Row],[COUNT]]-1,Material[Bend15]),"")</f>
        <v/>
      </c>
      <c r="Q9" s="21" t="str">
        <f>IF(Material[[#This Row],[TOTAL]],SUMIF(Material[FLAG],Material[[#This Row],[COUNT]]-1,Material[Bend30]),"")</f>
        <v/>
      </c>
      <c r="R9" s="21" t="str">
        <f>IF(Material[[#This Row],[TOTAL]],SUMIF(Material[FLAG],Material[[#This Row],[COUNT]]-1,Material[Bend45]),"")</f>
        <v/>
      </c>
      <c r="S9" s="43" t="str">
        <f>IF(Material[[#This Row],[TOTAL]],SUMIF(Material[FLAG],Material[[#This Row],[COUNT]]-1,Material[Bend90]),"")</f>
        <v/>
      </c>
      <c r="T9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9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9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9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9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9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9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9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9" s="50" t="str">
        <f>DATA[[#This Row],[Product]]</f>
        <v>Plastic</v>
      </c>
      <c r="AC9" s="51">
        <f>DATA[[#This Row],[Fnd_Xd]]</f>
        <v>0</v>
      </c>
      <c r="AD9" s="167" t="b">
        <f>IF(ISNUMBER(SEARCH("jun",DATA[[#This Row],[From_Type]])),TRUE,FALSE)</f>
        <v>0</v>
      </c>
      <c r="AE9" s="168" t="str">
        <f>IF(Material[[#This Row],[JUNCTION]],CONCATENATE(Material[[#This Row],[From]],Material[[#This Row],[Dia]],DATA[[#This Row],[From_Type]]),"")</f>
        <v/>
      </c>
      <c r="AF9" s="55" t="b">
        <f>IF(OR(DATA[[#This Row],[TOTAL]],COUNTIF(Material[[#This Row],[From]:[Dia]],"*total*")&gt;0),TRUE,FALSE)</f>
        <v>0</v>
      </c>
      <c r="AG9" s="55">
        <f>IF(Material[[#This Row],[TOTAL]],"",Material[[#This Row],[COUNT]])</f>
        <v>1</v>
      </c>
      <c r="AH9" s="54">
        <f>IF(Material[[#This Row],[TOTAL]],$AH8+1,IF($AH8="COUNT",1,$AH8))</f>
        <v>1</v>
      </c>
    </row>
    <row r="10" spans="1:34" x14ac:dyDescent="0.2">
      <c r="A10" s="93" t="str">
        <f>DATA[[#This Row],[From_ID]]&amp;IF(COUNTA(DATA[[#This Row],[From_ID2]]),"/"&amp;DATA[[#This Row],[From_ID2]],)</f>
        <v>SWMH12</v>
      </c>
      <c r="B10" s="93" t="str">
        <f>DATA[[#This Row],[To_ID]]</f>
        <v>RWP1</v>
      </c>
      <c r="C10" s="105">
        <f>DATA[[#This Row],[Dia]]</f>
        <v>100</v>
      </c>
      <c r="D10" s="120">
        <f>IF(Material[[#This Row],[TOTAL]],SUMIF(Material[FLAG],Material[[#This Row],[COUNT]]-1,Material[Length]),DATA[[#This Row],[Length]])</f>
        <v>3.8</v>
      </c>
      <c r="E10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10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0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0" s="116">
        <f>IF(Material[[#This Row],[TOTAL]],SUMIF(Material[FLAG],Material[[#This Row],[COUNT]]-1,Material[ObJun4]),COUNTIF(Material[JUN_ID],CONCATENATE(Material[[#This Row],[From]],"/",Material[[#This Row],[To]],H$4,"JunOb")))</f>
        <v>1</v>
      </c>
      <c r="I10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0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0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0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0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0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0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0" s="42" t="str">
        <f>IF(Material[[#This Row],[TOTAL]],SUMIF(Material[FLAG],Material[[#This Row],[COUNT]]-1,Material[Bend15]),"")</f>
        <v/>
      </c>
      <c r="Q10" s="21" t="str">
        <f>IF(Material[[#This Row],[TOTAL]],SUMIF(Material[FLAG],Material[[#This Row],[COUNT]]-1,Material[Bend30]),"")</f>
        <v/>
      </c>
      <c r="R10" s="21" t="str">
        <f>IF(Material[[#This Row],[TOTAL]],SUMIF(Material[FLAG],Material[[#This Row],[COUNT]]-1,Material[Bend45]),"")</f>
        <v/>
      </c>
      <c r="S10" s="43" t="str">
        <f>IF(Material[[#This Row],[TOTAL]],SUMIF(Material[FLAG],Material[[#This Row],[COUNT]]-1,Material[Bend90]),"")</f>
        <v/>
      </c>
      <c r="T10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0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0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0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0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0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0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0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0" s="50" t="str">
        <f>DATA[[#This Row],[Product]]</f>
        <v>Plastic</v>
      </c>
      <c r="AC10" s="51">
        <f>DATA[[#This Row],[Fnd_Xd]]</f>
        <v>0</v>
      </c>
      <c r="AD10" s="58" t="b">
        <f>IF(ISNUMBER(SEARCH("jun",DATA[[#This Row],[From_Type]])),TRUE,FALSE)</f>
        <v>0</v>
      </c>
      <c r="AE10" s="59" t="str">
        <f>IF(Material[[#This Row],[JUNCTION]],CONCATENATE(Material[[#This Row],[From]],Material[[#This Row],[Dia]],DATA[[#This Row],[From_Type]]),"")</f>
        <v/>
      </c>
      <c r="AF10" s="52" t="b">
        <f>IF(OR(DATA[[#This Row],[TOTAL]],COUNTIF(Material[[#This Row],[From]:[Dia]],"*total*")&gt;0),TRUE,FALSE)</f>
        <v>0</v>
      </c>
      <c r="AG10" s="52">
        <f>IF(Material[[#This Row],[TOTAL]],"",Material[[#This Row],[COUNT]])</f>
        <v>1</v>
      </c>
      <c r="AH10" s="54">
        <f>IF(Material[[#This Row],[TOTAL]],$AH9+1,IF($AH9="COUNT",1,$AH9))</f>
        <v>1</v>
      </c>
    </row>
    <row r="11" spans="1:34" x14ac:dyDescent="0.2">
      <c r="A11" s="121" t="str">
        <f>DATA[[#This Row],[From_ID]]&amp;IF(COUNTA(DATA[[#This Row],[From_ID2]]),"/"&amp;DATA[[#This Row],[From_ID2]],)</f>
        <v>SWMH12/RWP1</v>
      </c>
      <c r="B11" s="121" t="str">
        <f>DATA[[#This Row],[To_ID]]</f>
        <v>Aco</v>
      </c>
      <c r="C11" s="105">
        <f>DATA[[#This Row],[Dia]]</f>
        <v>100</v>
      </c>
      <c r="D11" s="120">
        <f>IF(Material[[#This Row],[TOTAL]],SUMIF(Material[FLAG],Material[[#This Row],[COUNT]]-1,Material[Length]),DATA[[#This Row],[Length]])</f>
        <v>1.4</v>
      </c>
      <c r="E11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11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11" s="109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11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11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1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1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1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1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1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1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1" s="42" t="str">
        <f>IF(Material[[#This Row],[TOTAL]],SUMIF(Material[FLAG],Material[[#This Row],[COUNT]]-1,Material[Bend15]),"")</f>
        <v/>
      </c>
      <c r="Q11" s="21" t="str">
        <f>IF(Material[[#This Row],[TOTAL]],SUMIF(Material[FLAG],Material[[#This Row],[COUNT]]-1,Material[Bend30]),"")</f>
        <v/>
      </c>
      <c r="R11" s="21" t="str">
        <f>IF(Material[[#This Row],[TOTAL]],SUMIF(Material[FLAG],Material[[#This Row],[COUNT]]-1,Material[Bend45]),"")</f>
        <v/>
      </c>
      <c r="S11" s="43" t="str">
        <f>IF(Material[[#This Row],[TOTAL]],SUMIF(Material[FLAG],Material[[#This Row],[COUNT]]-1,Material[Bend90]),"")</f>
        <v/>
      </c>
      <c r="T11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1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1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1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1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1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1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1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1" s="50" t="str">
        <f>DATA[[#This Row],[Product]]</f>
        <v>Plastic</v>
      </c>
      <c r="AC11" s="51">
        <f>DATA[[#This Row],[Fnd_Xd]]</f>
        <v>0</v>
      </c>
      <c r="AD11" s="58" t="b">
        <f>IF(ISNUMBER(SEARCH("jun",DATA[[#This Row],[From_Type]])),TRUE,FALSE)</f>
        <v>1</v>
      </c>
      <c r="AE11" s="59" t="str">
        <f>IF(Material[[#This Row],[JUNCTION]],CONCATENATE(Material[[#This Row],[From]],Material[[#This Row],[Dia]],DATA[[#This Row],[From_Type]]),"")</f>
        <v>SWMH12/RWP1100JunOb</v>
      </c>
      <c r="AF11" s="52" t="b">
        <f>IF(OR(DATA[[#This Row],[TOTAL]],COUNTIF(Material[[#This Row],[From]:[Dia]],"*total*")&gt;0),TRUE,FALSE)</f>
        <v>0</v>
      </c>
      <c r="AG11" s="52">
        <f>IF(Material[[#This Row],[TOTAL]],"",Material[[#This Row],[COUNT]])</f>
        <v>1</v>
      </c>
      <c r="AH11" s="54">
        <f>IF(Material[[#This Row],[TOTAL]],$AH10+1,IF($AH10="COUNT",1,$AH10))</f>
        <v>1</v>
      </c>
    </row>
    <row r="12" spans="1:34" x14ac:dyDescent="0.2">
      <c r="A12" s="121" t="str">
        <f>DATA[[#This Row],[From_ID]]&amp;IF(COUNTA(DATA[[#This Row],[From_ID2]]),"/"&amp;DATA[[#This Row],[From_ID2]],)</f>
        <v>SWMH12</v>
      </c>
      <c r="B12" s="121" t="str">
        <f>DATA[[#This Row],[To_ID]]</f>
        <v>RWP2</v>
      </c>
      <c r="C12" s="105">
        <f>DATA[[#This Row],[Dia]]</f>
        <v>100</v>
      </c>
      <c r="D12" s="120">
        <f>IF(Material[[#This Row],[TOTAL]],SUMIF(Material[FLAG],Material[[#This Row],[COUNT]]-1,Material[Length]),DATA[[#This Row],[Length]])</f>
        <v>4.5</v>
      </c>
      <c r="E12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12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2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2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12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2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2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2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2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2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2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2" s="42" t="str">
        <f>IF(Material[[#This Row],[TOTAL]],SUMIF(Material[FLAG],Material[[#This Row],[COUNT]]-1,Material[Bend15]),"")</f>
        <v/>
      </c>
      <c r="Q12" s="21" t="str">
        <f>IF(Material[[#This Row],[TOTAL]],SUMIF(Material[FLAG],Material[[#This Row],[COUNT]]-1,Material[Bend30]),"")</f>
        <v/>
      </c>
      <c r="R12" s="21" t="str">
        <f>IF(Material[[#This Row],[TOTAL]],SUMIF(Material[FLAG],Material[[#This Row],[COUNT]]-1,Material[Bend45]),"")</f>
        <v/>
      </c>
      <c r="S12" s="43" t="str">
        <f>IF(Material[[#This Row],[TOTAL]],SUMIF(Material[FLAG],Material[[#This Row],[COUNT]]-1,Material[Bend90]),"")</f>
        <v/>
      </c>
      <c r="T12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2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2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2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2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2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2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2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2" s="50" t="str">
        <f>DATA[[#This Row],[Product]]</f>
        <v>Plastic</v>
      </c>
      <c r="AC12" s="51">
        <f>DATA[[#This Row],[Fnd_Xd]]</f>
        <v>0</v>
      </c>
      <c r="AD12" s="58" t="b">
        <f>IF(ISNUMBER(SEARCH("jun",DATA[[#This Row],[From_Type]])),TRUE,FALSE)</f>
        <v>0</v>
      </c>
      <c r="AE12" s="59" t="str">
        <f>IF(Material[[#This Row],[JUNCTION]],CONCATENATE(Material[[#This Row],[From]],Material[[#This Row],[Dia]],DATA[[#This Row],[From_Type]]),"")</f>
        <v/>
      </c>
      <c r="AF12" s="52" t="b">
        <f>IF(OR(DATA[[#This Row],[TOTAL]],COUNTIF(Material[[#This Row],[From]:[Dia]],"*total*")&gt;0),TRUE,FALSE)</f>
        <v>0</v>
      </c>
      <c r="AG12" s="52">
        <f>IF(Material[[#This Row],[TOTAL]],"",Material[[#This Row],[COUNT]])</f>
        <v>1</v>
      </c>
      <c r="AH12" s="54">
        <f>IF(Material[[#This Row],[TOTAL]],$AH11+1,IF($AH11="COUNT",1,$AH11))</f>
        <v>1</v>
      </c>
    </row>
    <row r="13" spans="1:34" x14ac:dyDescent="0.2">
      <c r="A13" s="121" t="str">
        <f>DATA[[#This Row],[From_ID]]&amp;IF(COUNTA(DATA[[#This Row],[From_ID2]]),"/"&amp;DATA[[#This Row],[From_ID2]],)</f>
        <v>SWMH12</v>
      </c>
      <c r="B13" s="121" t="str">
        <f>DATA[[#This Row],[To_ID]]</f>
        <v>RWP3</v>
      </c>
      <c r="C13" s="105">
        <f>DATA[[#This Row],[Dia]]</f>
        <v>100</v>
      </c>
      <c r="D13" s="120">
        <f>IF(Material[[#This Row],[TOTAL]],SUMIF(Material[FLAG],Material[[#This Row],[COUNT]]-1,Material[Length]),DATA[[#This Row],[Length]])</f>
        <v>10.5</v>
      </c>
      <c r="E13" s="38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13" s="105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3" s="109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3" s="116">
        <f>IF(Material[[#This Row],[TOTAL]],SUMIF(Material[FLAG],Material[[#This Row],[COUNT]]-1,Material[ObJun4]),COUNTIF(Material[JUN_ID],CONCATENATE(Material[[#This Row],[From]],"/",Material[[#This Row],[To]],H$4,"JunOb")))</f>
        <v>0</v>
      </c>
      <c r="I13" s="117">
        <f>IF(Material[[#This Row],[TOTAL]],SUMIF(Material[FLAG],Material[[#This Row],[COUNT]]-1,Material[ObJun6]),COUNTIF(Material[JUN_ID],CONCATENATE(Material[[#This Row],[From]],"/",Material[[#This Row],[To]],I$4,"JunOb")))</f>
        <v>0</v>
      </c>
      <c r="J13" s="117">
        <f>IF(Material[[#This Row],[TOTAL]],SUMIF(Material[FLAG],Material[[#This Row],[COUNT]]-1,Material[ObJun9]),COUNTIF(Material[JUN_ID],CONCATENATE(Material[[#This Row],[From]],"/",Material[[#This Row],[To]],J$4,"JunOb")))</f>
        <v>0</v>
      </c>
      <c r="K13" s="118">
        <f>IF(Material[[#This Row],[TOTAL]],SUMIF(Material[FLAG],Material[[#This Row],[COUNT]]-1,Material[ObJun12]),COUNTIF(Material[JUN_ID],CONCATENATE(Material[[#This Row],[From]],"/",Material[[#This Row],[To]],K$4,"JunOb")))</f>
        <v>0</v>
      </c>
      <c r="L13" s="116">
        <f>IF(Material[[#This Row],[TOTAL]],SUMIF(Material[FLAG],Material[[#This Row],[COUNT]]-1,Material[SqJun4]),COUNTIF(Material[JUN_ID],CONCATENATE(Material[[#This Row],[From]],"/",Material[[#This Row],[To]],L$4,"JunSq")))</f>
        <v>0</v>
      </c>
      <c r="M13" s="117">
        <f>IF(Material[[#This Row],[TOTAL]],SUMIF(Material[FLAG],Material[[#This Row],[COUNT]]-1,Material[SqJun6]),COUNTIF(Material[JUN_ID],CONCATENATE(Material[[#This Row],[From]],"/",Material[[#This Row],[To]],M$4,"JunSq")))</f>
        <v>0</v>
      </c>
      <c r="N13" s="117">
        <f>IF(Material[[#This Row],[TOTAL]],SUMIF(Material[FLAG],Material[[#This Row],[COUNT]]-1,Material[SqJun9]),COUNTIF(Material[JUN_ID],CONCATENATE(Material[[#This Row],[From]],"/",Material[[#This Row],[To]],N$4,"JunSq")))</f>
        <v>0</v>
      </c>
      <c r="O13" s="118">
        <f>IF(Material[[#This Row],[TOTAL]],SUMIF(Material[FLAG],Material[[#This Row],[COUNT]]-1,Material[SqJun12]),COUNTIF(Material[JUN_ID],CONCATENATE(Material[[#This Row],[From]],"/",Material[[#This Row],[To]],O$4,"JunSq")))</f>
        <v>0</v>
      </c>
      <c r="P13" s="42" t="str">
        <f>IF(Material[[#This Row],[TOTAL]],SUMIF(Material[FLAG],Material[[#This Row],[COUNT]]-1,Material[Bend15]),"")</f>
        <v/>
      </c>
      <c r="Q13" s="21" t="str">
        <f>IF(Material[[#This Row],[TOTAL]],SUMIF(Material[FLAG],Material[[#This Row],[COUNT]]-1,Material[Bend30]),"")</f>
        <v/>
      </c>
      <c r="R13" s="21" t="str">
        <f>IF(Material[[#This Row],[TOTAL]],SUMIF(Material[FLAG],Material[[#This Row],[COUNT]]-1,Material[Bend45]),"")</f>
        <v/>
      </c>
      <c r="S13" s="43" t="str">
        <f>IF(Material[[#This Row],[TOTAL]],SUMIF(Material[FLAG],Material[[#This Row],[COUNT]]-1,Material[Bend90]),"")</f>
        <v/>
      </c>
      <c r="T13" s="10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3" s="105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3" s="105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3" s="105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3" s="105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3" s="105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3" s="105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3" s="109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3" s="50" t="str">
        <f>DATA[[#This Row],[Product]]</f>
        <v>Plastic</v>
      </c>
      <c r="AC13" s="51">
        <f>DATA[[#This Row],[Fnd_Xd]]</f>
        <v>0</v>
      </c>
      <c r="AD13" s="58" t="b">
        <f>IF(ISNUMBER(SEARCH("jun",DATA[[#This Row],[From_Type]])),TRUE,FALSE)</f>
        <v>0</v>
      </c>
      <c r="AE13" s="59" t="str">
        <f>IF(Material[[#This Row],[JUNCTION]],CONCATENATE(Material[[#This Row],[From]],Material[[#This Row],[Dia]],DATA[[#This Row],[From_Type]]),"")</f>
        <v/>
      </c>
      <c r="AF13" s="52" t="b">
        <f>IF(OR(DATA[[#This Row],[TOTAL]],COUNTIF(Material[[#This Row],[From]:[Dia]],"*total*")&gt;0),TRUE,FALSE)</f>
        <v>0</v>
      </c>
      <c r="AG13" s="52">
        <f>IF(Material[[#This Row],[TOTAL]],"",Material[[#This Row],[COUNT]])</f>
        <v>1</v>
      </c>
      <c r="AH13" s="54">
        <f>IF(Material[[#This Row],[TOTAL]],$AH12+1,IF($AH12="COUNT",1,$AH12))</f>
        <v>1</v>
      </c>
    </row>
    <row r="14" spans="1:34" x14ac:dyDescent="0.2">
      <c r="A14" s="139" t="str">
        <f>DATA[[#This Row],[From_ID]]&amp;IF(COUNTA(DATA[[#This Row],[From_ID2]]),"/"&amp;DATA[[#This Row],[From_ID2]],)</f>
        <v>SWMH06</v>
      </c>
      <c r="B14" s="139" t="str">
        <f>DATA[[#This Row],[To_ID]]</f>
        <v>SWMH13</v>
      </c>
      <c r="C14" s="141">
        <f>DATA[[#This Row],[Dia]]</f>
        <v>100</v>
      </c>
      <c r="D14" s="142">
        <f>IF(Material[[#This Row],[TOTAL]],SUMIF(Material[FLAG],Material[[#This Row],[COUNT]]-1,Material[Length]),DATA[[#This Row],[Length]])</f>
        <v>15.3</v>
      </c>
      <c r="E1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5.5</v>
      </c>
      <c r="F1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1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1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4" s="155" t="str">
        <f>IF(Material[[#This Row],[TOTAL]],SUMIF(Material[FLAG],Material[[#This Row],[COUNT]]-1,Material[Bend15]),"")</f>
        <v/>
      </c>
      <c r="Q14" s="156" t="str">
        <f>IF(Material[[#This Row],[TOTAL]],SUMIF(Material[FLAG],Material[[#This Row],[COUNT]]-1,Material[Bend30]),"")</f>
        <v/>
      </c>
      <c r="R14" s="156" t="str">
        <f>IF(Material[[#This Row],[TOTAL]],SUMIF(Material[FLAG],Material[[#This Row],[COUNT]]-1,Material[Bend45]),"")</f>
        <v/>
      </c>
      <c r="S14" s="157" t="str">
        <f>IF(Material[[#This Row],[TOTAL]],SUMIF(Material[FLAG],Material[[#This Row],[COUNT]]-1,Material[Bend90]),"")</f>
        <v/>
      </c>
      <c r="T1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4" s="159" t="str">
        <f>DATA[[#This Row],[Product]]</f>
        <v>Plastic</v>
      </c>
      <c r="AC14" s="160">
        <f>DATA[[#This Row],[Fnd_Xd]]</f>
        <v>0</v>
      </c>
      <c r="AD14" s="161" t="b">
        <f>IF(ISNUMBER(SEARCH("jun",DATA[[#This Row],[From_Type]])),TRUE,FALSE)</f>
        <v>0</v>
      </c>
      <c r="AE14" s="162" t="str">
        <f>IF(Material[[#This Row],[JUNCTION]],CONCATENATE(Material[[#This Row],[From]],Material[[#This Row],[Dia]],DATA[[#This Row],[From_Type]]),"")</f>
        <v/>
      </c>
      <c r="AF14" s="163" t="b">
        <f>IF(OR(DATA[[#This Row],[TOTAL]],COUNTIF(Material[[#This Row],[From]:[Dia]],"*total*")&gt;0),TRUE,FALSE)</f>
        <v>0</v>
      </c>
      <c r="AG14" s="163">
        <f>IF(Material[[#This Row],[TOTAL]],"",Material[[#This Row],[COUNT]])</f>
        <v>1</v>
      </c>
      <c r="AH14" s="164">
        <f>IF(Material[[#This Row],[TOTAL]],$AH13+1,IF($AH13="COUNT",1,$AH13))</f>
        <v>1</v>
      </c>
    </row>
    <row r="15" spans="1:34" x14ac:dyDescent="0.2">
      <c r="A15" s="139" t="str">
        <f>DATA[[#This Row],[From_ID]]&amp;IF(COUNTA(DATA[[#This Row],[From_ID2]]),"/"&amp;DATA[[#This Row],[From_ID2]],)</f>
        <v>SWMH13</v>
      </c>
      <c r="B15" s="139" t="str">
        <f>DATA[[#This Row],[To_ID]]</f>
        <v>RWP4</v>
      </c>
      <c r="C15" s="141">
        <f>DATA[[#This Row],[Dia]]</f>
        <v>100</v>
      </c>
      <c r="D15" s="142">
        <f>IF(Material[[#This Row],[TOTAL]],SUMIF(Material[FLAG],Material[[#This Row],[COUNT]]-1,Material[Length]),DATA[[#This Row],[Length]])</f>
        <v>4.45</v>
      </c>
      <c r="E1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1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5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1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5" s="155" t="str">
        <f>IF(Material[[#This Row],[TOTAL]],SUMIF(Material[FLAG],Material[[#This Row],[COUNT]]-1,Material[Bend15]),"")</f>
        <v/>
      </c>
      <c r="Q15" s="156" t="str">
        <f>IF(Material[[#This Row],[TOTAL]],SUMIF(Material[FLAG],Material[[#This Row],[COUNT]]-1,Material[Bend30]),"")</f>
        <v/>
      </c>
      <c r="R15" s="156" t="str">
        <f>IF(Material[[#This Row],[TOTAL]],SUMIF(Material[FLAG],Material[[#This Row],[COUNT]]-1,Material[Bend45]),"")</f>
        <v/>
      </c>
      <c r="S15" s="157" t="str">
        <f>IF(Material[[#This Row],[TOTAL]],SUMIF(Material[FLAG],Material[[#This Row],[COUNT]]-1,Material[Bend90]),"")</f>
        <v/>
      </c>
      <c r="T1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5" s="159" t="str">
        <f>DATA[[#This Row],[Product]]</f>
        <v>Plastic</v>
      </c>
      <c r="AC15" s="160">
        <f>DATA[[#This Row],[Fnd_Xd]]</f>
        <v>0</v>
      </c>
      <c r="AD15" s="161" t="b">
        <f>IF(ISNUMBER(SEARCH("jun",DATA[[#This Row],[From_Type]])),TRUE,FALSE)</f>
        <v>0</v>
      </c>
      <c r="AE15" s="162" t="str">
        <f>IF(Material[[#This Row],[JUNCTION]],CONCATENATE(Material[[#This Row],[From]],Material[[#This Row],[Dia]],DATA[[#This Row],[From_Type]]),"")</f>
        <v/>
      </c>
      <c r="AF15" s="163" t="b">
        <f>IF(OR(DATA[[#This Row],[TOTAL]],COUNTIF(Material[[#This Row],[From]:[Dia]],"*total*")&gt;0),TRUE,FALSE)</f>
        <v>0</v>
      </c>
      <c r="AG15" s="163">
        <f>IF(Material[[#This Row],[TOTAL]],"",Material[[#This Row],[COUNT]])</f>
        <v>1</v>
      </c>
      <c r="AH15" s="164">
        <f>IF(Material[[#This Row],[TOTAL]],$AH14+1,IF($AH14="COUNT",1,$AH14))</f>
        <v>1</v>
      </c>
    </row>
    <row r="16" spans="1:34" x14ac:dyDescent="0.2">
      <c r="A16" s="139" t="str">
        <f>DATA[[#This Row],[From_ID]]&amp;IF(COUNTA(DATA[[#This Row],[From_ID2]]),"/"&amp;DATA[[#This Row],[From_ID2]],)</f>
        <v>SWMH13/RWP4</v>
      </c>
      <c r="B16" s="139" t="str">
        <f>DATA[[#This Row],[To_ID]]</f>
        <v>Aco</v>
      </c>
      <c r="C16" s="141">
        <f>DATA[[#This Row],[Dia]]</f>
        <v>100</v>
      </c>
      <c r="D16" s="142">
        <f>IF(Material[[#This Row],[TOTAL]],SUMIF(Material[FLAG],Material[[#This Row],[COUNT]]-1,Material[Length]),DATA[[#This Row],[Length]])</f>
        <v>1</v>
      </c>
      <c r="E1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1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1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1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6" s="155" t="str">
        <f>IF(Material[[#This Row],[TOTAL]],SUMIF(Material[FLAG],Material[[#This Row],[COUNT]]-1,Material[Bend15]),"")</f>
        <v/>
      </c>
      <c r="Q16" s="156" t="str">
        <f>IF(Material[[#This Row],[TOTAL]],SUMIF(Material[FLAG],Material[[#This Row],[COUNT]]-1,Material[Bend30]),"")</f>
        <v/>
      </c>
      <c r="R16" s="156" t="str">
        <f>IF(Material[[#This Row],[TOTAL]],SUMIF(Material[FLAG],Material[[#This Row],[COUNT]]-1,Material[Bend45]),"")</f>
        <v/>
      </c>
      <c r="S16" s="157" t="str">
        <f>IF(Material[[#This Row],[TOTAL]],SUMIF(Material[FLAG],Material[[#This Row],[COUNT]]-1,Material[Bend90]),"")</f>
        <v/>
      </c>
      <c r="T1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6" s="159" t="str">
        <f>DATA[[#This Row],[Product]]</f>
        <v>Plastic</v>
      </c>
      <c r="AC16" s="160">
        <f>DATA[[#This Row],[Fnd_Xd]]</f>
        <v>0</v>
      </c>
      <c r="AD16" s="161" t="b">
        <f>IF(ISNUMBER(SEARCH("jun",DATA[[#This Row],[From_Type]])),TRUE,FALSE)</f>
        <v>1</v>
      </c>
      <c r="AE16" s="162" t="str">
        <f>IF(Material[[#This Row],[JUNCTION]],CONCATENATE(Material[[#This Row],[From]],Material[[#This Row],[Dia]],DATA[[#This Row],[From_Type]]),"")</f>
        <v>SWMH13/RWP4100JunOb</v>
      </c>
      <c r="AF16" s="163" t="b">
        <f>IF(OR(DATA[[#This Row],[TOTAL]],COUNTIF(Material[[#This Row],[From]:[Dia]],"*total*")&gt;0),TRUE,FALSE)</f>
        <v>0</v>
      </c>
      <c r="AG16" s="163">
        <f>IF(Material[[#This Row],[TOTAL]],"",Material[[#This Row],[COUNT]])</f>
        <v>1</v>
      </c>
      <c r="AH16" s="164">
        <f>IF(Material[[#This Row],[TOTAL]],$AH15+1,IF($AH15="COUNT",1,$AH15))</f>
        <v>1</v>
      </c>
    </row>
    <row r="17" spans="1:34" x14ac:dyDescent="0.2">
      <c r="A17" s="139" t="str">
        <f>DATA[[#This Row],[From_ID]]&amp;IF(COUNTA(DATA[[#This Row],[From_ID2]]),"/"&amp;DATA[[#This Row],[From_ID2]],)</f>
        <v>SWMH13</v>
      </c>
      <c r="B17" s="139" t="str">
        <f>DATA[[#This Row],[To_ID]]</f>
        <v>RWP5</v>
      </c>
      <c r="C17" s="141">
        <f>DATA[[#This Row],[Dia]]</f>
        <v>100</v>
      </c>
      <c r="D17" s="142">
        <f>IF(Material[[#This Row],[TOTAL]],SUMIF(Material[FLAG],Material[[#This Row],[COUNT]]-1,Material[Length]),DATA[[#This Row],[Length]])</f>
        <v>1.8</v>
      </c>
      <c r="E1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1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1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7" s="155" t="str">
        <f>IF(Material[[#This Row],[TOTAL]],SUMIF(Material[FLAG],Material[[#This Row],[COUNT]]-1,Material[Bend15]),"")</f>
        <v/>
      </c>
      <c r="Q17" s="156" t="str">
        <f>IF(Material[[#This Row],[TOTAL]],SUMIF(Material[FLAG],Material[[#This Row],[COUNT]]-1,Material[Bend30]),"")</f>
        <v/>
      </c>
      <c r="R17" s="156" t="str">
        <f>IF(Material[[#This Row],[TOTAL]],SUMIF(Material[FLAG],Material[[#This Row],[COUNT]]-1,Material[Bend45]),"")</f>
        <v/>
      </c>
      <c r="S17" s="157" t="str">
        <f>IF(Material[[#This Row],[TOTAL]],SUMIF(Material[FLAG],Material[[#This Row],[COUNT]]-1,Material[Bend90]),"")</f>
        <v/>
      </c>
      <c r="T1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7" s="159" t="str">
        <f>DATA[[#This Row],[Product]]</f>
        <v>Plastic</v>
      </c>
      <c r="AC17" s="160">
        <f>DATA[[#This Row],[Fnd_Xd]]</f>
        <v>0</v>
      </c>
      <c r="AD17" s="161" t="b">
        <f>IF(ISNUMBER(SEARCH("jun",DATA[[#This Row],[From_Type]])),TRUE,FALSE)</f>
        <v>0</v>
      </c>
      <c r="AE17" s="162" t="str">
        <f>IF(Material[[#This Row],[JUNCTION]],CONCATENATE(Material[[#This Row],[From]],Material[[#This Row],[Dia]],DATA[[#This Row],[From_Type]]),"")</f>
        <v/>
      </c>
      <c r="AF17" s="163" t="b">
        <f>IF(OR(DATA[[#This Row],[TOTAL]],COUNTIF(Material[[#This Row],[From]:[Dia]],"*total*")&gt;0),TRUE,FALSE)</f>
        <v>0</v>
      </c>
      <c r="AG17" s="163">
        <f>IF(Material[[#This Row],[TOTAL]],"",Material[[#This Row],[COUNT]])</f>
        <v>1</v>
      </c>
      <c r="AH17" s="164">
        <f>IF(Material[[#This Row],[TOTAL]],$AH16+1,IF($AH16="COUNT",1,$AH16))</f>
        <v>1</v>
      </c>
    </row>
    <row r="18" spans="1:34" x14ac:dyDescent="0.2">
      <c r="A18" s="139" t="str">
        <f>DATA[[#This Row],[From_ID]]&amp;IF(COUNTA(DATA[[#This Row],[From_ID2]]),"/"&amp;DATA[[#This Row],[From_ID2]],)</f>
        <v>SWMH13</v>
      </c>
      <c r="B18" s="139" t="str">
        <f>DATA[[#This Row],[To_ID]]</f>
        <v>RWP6</v>
      </c>
      <c r="C18" s="141">
        <f>DATA[[#This Row],[Dia]]</f>
        <v>100</v>
      </c>
      <c r="D18" s="142">
        <f>IF(Material[[#This Row],[TOTAL]],SUMIF(Material[FLAG],Material[[#This Row],[COUNT]]-1,Material[Length]),DATA[[#This Row],[Length]])</f>
        <v>9.4499999999999993</v>
      </c>
      <c r="E1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1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1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1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8" s="155" t="str">
        <f>IF(Material[[#This Row],[TOTAL]],SUMIF(Material[FLAG],Material[[#This Row],[COUNT]]-1,Material[Bend15]),"")</f>
        <v/>
      </c>
      <c r="Q18" s="156" t="str">
        <f>IF(Material[[#This Row],[TOTAL]],SUMIF(Material[FLAG],Material[[#This Row],[COUNT]]-1,Material[Bend30]),"")</f>
        <v/>
      </c>
      <c r="R18" s="156" t="str">
        <f>IF(Material[[#This Row],[TOTAL]],SUMIF(Material[FLAG],Material[[#This Row],[COUNT]]-1,Material[Bend45]),"")</f>
        <v/>
      </c>
      <c r="S18" s="157" t="str">
        <f>IF(Material[[#This Row],[TOTAL]],SUMIF(Material[FLAG],Material[[#This Row],[COUNT]]-1,Material[Bend90]),"")</f>
        <v/>
      </c>
      <c r="T1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1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8" s="159" t="str">
        <f>DATA[[#This Row],[Product]]</f>
        <v>Plastic</v>
      </c>
      <c r="AC18" s="160">
        <f>DATA[[#This Row],[Fnd_Xd]]</f>
        <v>0</v>
      </c>
      <c r="AD18" s="161" t="b">
        <f>IF(ISNUMBER(SEARCH("jun",DATA[[#This Row],[From_Type]])),TRUE,FALSE)</f>
        <v>0</v>
      </c>
      <c r="AE18" s="162" t="str">
        <f>IF(Material[[#This Row],[JUNCTION]],CONCATENATE(Material[[#This Row],[From]],Material[[#This Row],[Dia]],DATA[[#This Row],[From_Type]]),"")</f>
        <v/>
      </c>
      <c r="AF18" s="163" t="b">
        <f>IF(OR(DATA[[#This Row],[TOTAL]],COUNTIF(Material[[#This Row],[From]:[Dia]],"*total*")&gt;0),TRUE,FALSE)</f>
        <v>0</v>
      </c>
      <c r="AG18" s="163">
        <f>IF(Material[[#This Row],[TOTAL]],"",Material[[#This Row],[COUNT]])</f>
        <v>1</v>
      </c>
      <c r="AH18" s="164">
        <f>IF(Material[[#This Row],[TOTAL]],$AH17+1,IF($AH17="COUNT",1,$AH17))</f>
        <v>1</v>
      </c>
    </row>
    <row r="19" spans="1:34" x14ac:dyDescent="0.2">
      <c r="A19" s="139" t="str">
        <f>DATA[[#This Row],[From_ID]]&amp;IF(COUNTA(DATA[[#This Row],[From_ID2]]),"/"&amp;DATA[[#This Row],[From_ID2]],)</f>
        <v>SWMH07</v>
      </c>
      <c r="B19" s="139" t="str">
        <f>DATA[[#This Row],[To_ID]]</f>
        <v>SWMH11</v>
      </c>
      <c r="C19" s="141">
        <f>DATA[[#This Row],[Dia]]</f>
        <v>100</v>
      </c>
      <c r="D19" s="142">
        <f>IF(Material[[#This Row],[TOTAL]],SUMIF(Material[FLAG],Material[[#This Row],[COUNT]]-1,Material[Length]),DATA[[#This Row],[Length]])</f>
        <v>10.3</v>
      </c>
      <c r="E1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1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1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1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1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1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1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1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1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1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1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19" s="155" t="str">
        <f>IF(Material[[#This Row],[TOTAL]],SUMIF(Material[FLAG],Material[[#This Row],[COUNT]]-1,Material[Bend15]),"")</f>
        <v/>
      </c>
      <c r="Q19" s="156" t="str">
        <f>IF(Material[[#This Row],[TOTAL]],SUMIF(Material[FLAG],Material[[#This Row],[COUNT]]-1,Material[Bend30]),"")</f>
        <v/>
      </c>
      <c r="R19" s="156" t="str">
        <f>IF(Material[[#This Row],[TOTAL]],SUMIF(Material[FLAG],Material[[#This Row],[COUNT]]-1,Material[Bend45]),"")</f>
        <v/>
      </c>
      <c r="S19" s="157" t="str">
        <f>IF(Material[[#This Row],[TOTAL]],SUMIF(Material[FLAG],Material[[#This Row],[COUNT]]-1,Material[Bend90]),"")</f>
        <v/>
      </c>
      <c r="T1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1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1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1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1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1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1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1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19" s="159" t="str">
        <f>DATA[[#This Row],[Product]]</f>
        <v>Plastic</v>
      </c>
      <c r="AC19" s="160">
        <f>DATA[[#This Row],[Fnd_Xd]]</f>
        <v>0</v>
      </c>
      <c r="AD19" s="161" t="b">
        <f>IF(ISNUMBER(SEARCH("jun",DATA[[#This Row],[From_Type]])),TRUE,FALSE)</f>
        <v>0</v>
      </c>
      <c r="AE19" s="162" t="str">
        <f>IF(Material[[#This Row],[JUNCTION]],CONCATENATE(Material[[#This Row],[From]],Material[[#This Row],[Dia]],DATA[[#This Row],[From_Type]]),"")</f>
        <v/>
      </c>
      <c r="AF19" s="163" t="b">
        <f>IF(OR(DATA[[#This Row],[TOTAL]],COUNTIF(Material[[#This Row],[From]:[Dia]],"*total*")&gt;0),TRUE,FALSE)</f>
        <v>0</v>
      </c>
      <c r="AG19" s="163">
        <f>IF(Material[[#This Row],[TOTAL]],"",Material[[#This Row],[COUNT]])</f>
        <v>1</v>
      </c>
      <c r="AH19" s="164">
        <f>IF(Material[[#This Row],[TOTAL]],$AH18+1,IF($AH18="COUNT",1,$AH18))</f>
        <v>1</v>
      </c>
    </row>
    <row r="20" spans="1:34" x14ac:dyDescent="0.2">
      <c r="A20" s="139" t="str">
        <f>DATA[[#This Row],[From_ID]]&amp;IF(COUNTA(DATA[[#This Row],[From_ID2]]),"/"&amp;DATA[[#This Row],[From_ID2]],)</f>
        <v>SWMH11</v>
      </c>
      <c r="B20" s="139" t="str">
        <f>DATA[[#This Row],[To_ID]]</f>
        <v>SWMH16</v>
      </c>
      <c r="C20" s="141">
        <f>DATA[[#This Row],[Dia]]</f>
        <v>100</v>
      </c>
      <c r="D20" s="142">
        <f>IF(Material[[#This Row],[TOTAL]],SUMIF(Material[FLAG],Material[[#This Row],[COUNT]]-1,Material[Length]),DATA[[#This Row],[Length]])</f>
        <v>7.3</v>
      </c>
      <c r="E2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2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2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2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0" s="155" t="str">
        <f>IF(Material[[#This Row],[TOTAL]],SUMIF(Material[FLAG],Material[[#This Row],[COUNT]]-1,Material[Bend15]),"")</f>
        <v/>
      </c>
      <c r="Q20" s="156" t="str">
        <f>IF(Material[[#This Row],[TOTAL]],SUMIF(Material[FLAG],Material[[#This Row],[COUNT]]-1,Material[Bend30]),"")</f>
        <v/>
      </c>
      <c r="R20" s="156" t="str">
        <f>IF(Material[[#This Row],[TOTAL]],SUMIF(Material[FLAG],Material[[#This Row],[COUNT]]-1,Material[Bend45]),"")</f>
        <v/>
      </c>
      <c r="S20" s="157" t="str">
        <f>IF(Material[[#This Row],[TOTAL]],SUMIF(Material[FLAG],Material[[#This Row],[COUNT]]-1,Material[Bend90]),"")</f>
        <v/>
      </c>
      <c r="T2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0" s="159" t="str">
        <f>DATA[[#This Row],[Product]]</f>
        <v>Plastic</v>
      </c>
      <c r="AC20" s="160">
        <f>DATA[[#This Row],[Fnd_Xd]]</f>
        <v>0</v>
      </c>
      <c r="AD20" s="161" t="b">
        <f>IF(ISNUMBER(SEARCH("jun",DATA[[#This Row],[From_Type]])),TRUE,FALSE)</f>
        <v>0</v>
      </c>
      <c r="AE20" s="162" t="str">
        <f>IF(Material[[#This Row],[JUNCTION]],CONCATENATE(Material[[#This Row],[From]],Material[[#This Row],[Dia]],DATA[[#This Row],[From_Type]]),"")</f>
        <v/>
      </c>
      <c r="AF20" s="163" t="b">
        <f>IF(OR(DATA[[#This Row],[TOTAL]],COUNTIF(Material[[#This Row],[From]:[Dia]],"*total*")&gt;0),TRUE,FALSE)</f>
        <v>0</v>
      </c>
      <c r="AG20" s="163">
        <f>IF(Material[[#This Row],[TOTAL]],"",Material[[#This Row],[COUNT]])</f>
        <v>1</v>
      </c>
      <c r="AH20" s="164">
        <f>IF(Material[[#This Row],[TOTAL]],$AH19+1,IF($AH19="COUNT",1,$AH19))</f>
        <v>1</v>
      </c>
    </row>
    <row r="21" spans="1:34" x14ac:dyDescent="0.2">
      <c r="A21" s="139" t="str">
        <f>DATA[[#This Row],[From_ID]]&amp;IF(COUNTA(DATA[[#This Row],[From_ID2]]),"/"&amp;DATA[[#This Row],[From_ID2]],)</f>
        <v>SWMH16</v>
      </c>
      <c r="B21" s="139" t="str">
        <f>DATA[[#This Row],[To_ID]]</f>
        <v>RWP7</v>
      </c>
      <c r="C21" s="141">
        <f>DATA[[#This Row],[Dia]]</f>
        <v>100</v>
      </c>
      <c r="D21" s="142">
        <f>IF(Material[[#This Row],[TOTAL]],SUMIF(Material[FLAG],Material[[#This Row],[COUNT]]-1,Material[Length]),DATA[[#This Row],[Length]])</f>
        <v>6.9</v>
      </c>
      <c r="E2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2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21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2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1" s="155" t="str">
        <f>IF(Material[[#This Row],[TOTAL]],SUMIF(Material[FLAG],Material[[#This Row],[COUNT]]-1,Material[Bend15]),"")</f>
        <v/>
      </c>
      <c r="Q21" s="156" t="str">
        <f>IF(Material[[#This Row],[TOTAL]],SUMIF(Material[FLAG],Material[[#This Row],[COUNT]]-1,Material[Bend30]),"")</f>
        <v/>
      </c>
      <c r="R21" s="156" t="str">
        <f>IF(Material[[#This Row],[TOTAL]],SUMIF(Material[FLAG],Material[[#This Row],[COUNT]]-1,Material[Bend45]),"")</f>
        <v/>
      </c>
      <c r="S21" s="157" t="str">
        <f>IF(Material[[#This Row],[TOTAL]],SUMIF(Material[FLAG],Material[[#This Row],[COUNT]]-1,Material[Bend90]),"")</f>
        <v/>
      </c>
      <c r="T2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1" s="159" t="str">
        <f>DATA[[#This Row],[Product]]</f>
        <v>Plastic</v>
      </c>
      <c r="AC21" s="160">
        <f>DATA[[#This Row],[Fnd_Xd]]</f>
        <v>0</v>
      </c>
      <c r="AD21" s="161" t="b">
        <f>IF(ISNUMBER(SEARCH("jun",DATA[[#This Row],[From_Type]])),TRUE,FALSE)</f>
        <v>0</v>
      </c>
      <c r="AE21" s="162" t="str">
        <f>IF(Material[[#This Row],[JUNCTION]],CONCATENATE(Material[[#This Row],[From]],Material[[#This Row],[Dia]],DATA[[#This Row],[From_Type]]),"")</f>
        <v/>
      </c>
      <c r="AF21" s="163" t="b">
        <f>IF(OR(DATA[[#This Row],[TOTAL]],COUNTIF(Material[[#This Row],[From]:[Dia]],"*total*")&gt;0),TRUE,FALSE)</f>
        <v>0</v>
      </c>
      <c r="AG21" s="163">
        <f>IF(Material[[#This Row],[TOTAL]],"",Material[[#This Row],[COUNT]])</f>
        <v>1</v>
      </c>
      <c r="AH21" s="164">
        <f>IF(Material[[#This Row],[TOTAL]],$AH20+1,IF($AH20="COUNT",1,$AH20))</f>
        <v>1</v>
      </c>
    </row>
    <row r="22" spans="1:34" x14ac:dyDescent="0.2">
      <c r="A22" s="139" t="str">
        <f>DATA[[#This Row],[From_ID]]&amp;IF(COUNTA(DATA[[#This Row],[From_ID2]]),"/"&amp;DATA[[#This Row],[From_ID2]],)</f>
        <v>SWMH16/RWP7</v>
      </c>
      <c r="B22" s="139" t="str">
        <f>DATA[[#This Row],[To_ID]]</f>
        <v>Aco</v>
      </c>
      <c r="C22" s="141">
        <f>DATA[[#This Row],[Dia]]</f>
        <v>100</v>
      </c>
      <c r="D22" s="142">
        <f>IF(Material[[#This Row],[TOTAL]],SUMIF(Material[FLAG],Material[[#This Row],[COUNT]]-1,Material[Length]),DATA[[#This Row],[Length]])</f>
        <v>3</v>
      </c>
      <c r="E2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2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2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0</v>
      </c>
      <c r="H2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2" s="155" t="str">
        <f>IF(Material[[#This Row],[TOTAL]],SUMIF(Material[FLAG],Material[[#This Row],[COUNT]]-1,Material[Bend15]),"")</f>
        <v/>
      </c>
      <c r="Q22" s="156" t="str">
        <f>IF(Material[[#This Row],[TOTAL]],SUMIF(Material[FLAG],Material[[#This Row],[COUNT]]-1,Material[Bend30]),"")</f>
        <v/>
      </c>
      <c r="R22" s="156" t="str">
        <f>IF(Material[[#This Row],[TOTAL]],SUMIF(Material[FLAG],Material[[#This Row],[COUNT]]-1,Material[Bend45]),"")</f>
        <v/>
      </c>
      <c r="S22" s="157" t="str">
        <f>IF(Material[[#This Row],[TOTAL]],SUMIF(Material[FLAG],Material[[#This Row],[COUNT]]-1,Material[Bend90]),"")</f>
        <v/>
      </c>
      <c r="T2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2" s="159" t="str">
        <f>DATA[[#This Row],[Product]]</f>
        <v>Plastic</v>
      </c>
      <c r="AC22" s="160">
        <f>DATA[[#This Row],[Fnd_Xd]]</f>
        <v>0</v>
      </c>
      <c r="AD22" s="161" t="b">
        <f>IF(ISNUMBER(SEARCH("jun",DATA[[#This Row],[From_Type]])),TRUE,FALSE)</f>
        <v>1</v>
      </c>
      <c r="AE22" s="162" t="str">
        <f>IF(Material[[#This Row],[JUNCTION]],CONCATENATE(Material[[#This Row],[From]],Material[[#This Row],[Dia]],DATA[[#This Row],[From_Type]]),"")</f>
        <v>SWMH16/RWP7100JunOb</v>
      </c>
      <c r="AF22" s="163" t="b">
        <f>IF(OR(DATA[[#This Row],[TOTAL]],COUNTIF(Material[[#This Row],[From]:[Dia]],"*total*")&gt;0),TRUE,FALSE)</f>
        <v>0</v>
      </c>
      <c r="AG22" s="163">
        <f>IF(Material[[#This Row],[TOTAL]],"",Material[[#This Row],[COUNT]])</f>
        <v>1</v>
      </c>
      <c r="AH22" s="164">
        <f>IF(Material[[#This Row],[TOTAL]],$AH21+1,IF($AH21="COUNT",1,$AH21))</f>
        <v>1</v>
      </c>
    </row>
    <row r="23" spans="1:34" x14ac:dyDescent="0.2">
      <c r="A23" s="139" t="str">
        <f>DATA[[#This Row],[From_ID]]&amp;IF(COUNTA(DATA[[#This Row],[From_ID2]]),"/"&amp;DATA[[#This Row],[From_ID2]],)</f>
        <v>SWMH16</v>
      </c>
      <c r="B23" s="139" t="str">
        <f>DATA[[#This Row],[To_ID]]</f>
        <v>RWP8</v>
      </c>
      <c r="C23" s="141">
        <f>DATA[[#This Row],[Dia]]</f>
        <v>100</v>
      </c>
      <c r="D23" s="142">
        <f>IF(Material[[#This Row],[TOTAL]],SUMIF(Material[FLAG],Material[[#This Row],[COUNT]]-1,Material[Length]),DATA[[#This Row],[Length]])</f>
        <v>4.25</v>
      </c>
      <c r="E2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2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2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3" s="155" t="str">
        <f>IF(Material[[#This Row],[TOTAL]],SUMIF(Material[FLAG],Material[[#This Row],[COUNT]]-1,Material[Bend15]),"")</f>
        <v/>
      </c>
      <c r="Q23" s="156" t="str">
        <f>IF(Material[[#This Row],[TOTAL]],SUMIF(Material[FLAG],Material[[#This Row],[COUNT]]-1,Material[Bend30]),"")</f>
        <v/>
      </c>
      <c r="R23" s="156" t="str">
        <f>IF(Material[[#This Row],[TOTAL]],SUMIF(Material[FLAG],Material[[#This Row],[COUNT]]-1,Material[Bend45]),"")</f>
        <v/>
      </c>
      <c r="S23" s="157" t="str">
        <f>IF(Material[[#This Row],[TOTAL]],SUMIF(Material[FLAG],Material[[#This Row],[COUNT]]-1,Material[Bend90]),"")</f>
        <v/>
      </c>
      <c r="T2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3" s="159" t="str">
        <f>DATA[[#This Row],[Product]]</f>
        <v>Plastic</v>
      </c>
      <c r="AC23" s="160">
        <f>DATA[[#This Row],[Fnd_Xd]]</f>
        <v>0</v>
      </c>
      <c r="AD23" s="161" t="b">
        <f>IF(ISNUMBER(SEARCH("jun",DATA[[#This Row],[From_Type]])),TRUE,FALSE)</f>
        <v>0</v>
      </c>
      <c r="AE23" s="162" t="str">
        <f>IF(Material[[#This Row],[JUNCTION]],CONCATENATE(Material[[#This Row],[From]],Material[[#This Row],[Dia]],DATA[[#This Row],[From_Type]]),"")</f>
        <v/>
      </c>
      <c r="AF23" s="163" t="b">
        <f>IF(OR(DATA[[#This Row],[TOTAL]],COUNTIF(Material[[#This Row],[From]:[Dia]],"*total*")&gt;0),TRUE,FALSE)</f>
        <v>0</v>
      </c>
      <c r="AG23" s="163">
        <f>IF(Material[[#This Row],[TOTAL]],"",Material[[#This Row],[COUNT]])</f>
        <v>1</v>
      </c>
      <c r="AH23" s="164">
        <f>IF(Material[[#This Row],[TOTAL]],$AH22+1,IF($AH22="COUNT",1,$AH22))</f>
        <v>1</v>
      </c>
    </row>
    <row r="24" spans="1:34" x14ac:dyDescent="0.2">
      <c r="A24" s="139" t="str">
        <f>DATA[[#This Row],[From_ID]]&amp;IF(COUNTA(DATA[[#This Row],[From_ID2]]),"/"&amp;DATA[[#This Row],[From_ID2]],)</f>
        <v>SWMH16</v>
      </c>
      <c r="B24" s="139" t="str">
        <f>DATA[[#This Row],[To_ID]]</f>
        <v>RWP9</v>
      </c>
      <c r="C24" s="141">
        <f>DATA[[#This Row],[Dia]]</f>
        <v>100</v>
      </c>
      <c r="D24" s="142">
        <f>IF(Material[[#This Row],[TOTAL]],SUMIF(Material[FLAG],Material[[#This Row],[COUNT]]-1,Material[Length]),DATA[[#This Row],[Length]])</f>
        <v>1</v>
      </c>
      <c r="E2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2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2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4" s="155" t="str">
        <f>IF(Material[[#This Row],[TOTAL]],SUMIF(Material[FLAG],Material[[#This Row],[COUNT]]-1,Material[Bend15]),"")</f>
        <v/>
      </c>
      <c r="Q24" s="156" t="str">
        <f>IF(Material[[#This Row],[TOTAL]],SUMIF(Material[FLAG],Material[[#This Row],[COUNT]]-1,Material[Bend30]),"")</f>
        <v/>
      </c>
      <c r="R24" s="156" t="str">
        <f>IF(Material[[#This Row],[TOTAL]],SUMIF(Material[FLAG],Material[[#This Row],[COUNT]]-1,Material[Bend45]),"")</f>
        <v/>
      </c>
      <c r="S24" s="157" t="str">
        <f>IF(Material[[#This Row],[TOTAL]],SUMIF(Material[FLAG],Material[[#This Row],[COUNT]]-1,Material[Bend90]),"")</f>
        <v/>
      </c>
      <c r="T2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4" s="159" t="str">
        <f>DATA[[#This Row],[Product]]</f>
        <v>Plastic</v>
      </c>
      <c r="AC24" s="160">
        <f>DATA[[#This Row],[Fnd_Xd]]</f>
        <v>0</v>
      </c>
      <c r="AD24" s="161" t="b">
        <f>IF(ISNUMBER(SEARCH("jun",DATA[[#This Row],[From_Type]])),TRUE,FALSE)</f>
        <v>0</v>
      </c>
      <c r="AE24" s="162" t="str">
        <f>IF(Material[[#This Row],[JUNCTION]],CONCATENATE(Material[[#This Row],[From]],Material[[#This Row],[Dia]],DATA[[#This Row],[From_Type]]),"")</f>
        <v/>
      </c>
      <c r="AF24" s="163" t="b">
        <f>IF(OR(DATA[[#This Row],[TOTAL]],COUNTIF(Material[[#This Row],[From]:[Dia]],"*total*")&gt;0),TRUE,FALSE)</f>
        <v>0</v>
      </c>
      <c r="AG24" s="163">
        <f>IF(Material[[#This Row],[TOTAL]],"",Material[[#This Row],[COUNT]])</f>
        <v>1</v>
      </c>
      <c r="AH24" s="164">
        <f>IF(Material[[#This Row],[TOTAL]],$AH23+1,IF($AH23="COUNT",1,$AH23))</f>
        <v>1</v>
      </c>
    </row>
    <row r="25" spans="1:34" x14ac:dyDescent="0.2">
      <c r="A25" s="139" t="str">
        <f>DATA[[#This Row],[From_ID]]&amp;IF(COUNTA(DATA[[#This Row],[From_ID2]]),"/"&amp;DATA[[#This Row],[From_ID2]],)</f>
        <v>SWMH16</v>
      </c>
      <c r="B25" s="139" t="str">
        <f>DATA[[#This Row],[To_ID]]</f>
        <v>RWP10</v>
      </c>
      <c r="C25" s="141">
        <f>DATA[[#This Row],[Dia]]</f>
        <v>100</v>
      </c>
      <c r="D25" s="142">
        <f>IF(Material[[#This Row],[TOTAL]],SUMIF(Material[FLAG],Material[[#This Row],[COUNT]]-1,Material[Length]),DATA[[#This Row],[Length]])</f>
        <v>11.35</v>
      </c>
      <c r="E2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2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25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2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5" s="155" t="str">
        <f>IF(Material[[#This Row],[TOTAL]],SUMIF(Material[FLAG],Material[[#This Row],[COUNT]]-1,Material[Bend15]),"")</f>
        <v/>
      </c>
      <c r="Q25" s="156" t="str">
        <f>IF(Material[[#This Row],[TOTAL]],SUMIF(Material[FLAG],Material[[#This Row],[COUNT]]-1,Material[Bend30]),"")</f>
        <v/>
      </c>
      <c r="R25" s="156" t="str">
        <f>IF(Material[[#This Row],[TOTAL]],SUMIF(Material[FLAG],Material[[#This Row],[COUNT]]-1,Material[Bend45]),"")</f>
        <v/>
      </c>
      <c r="S25" s="157" t="str">
        <f>IF(Material[[#This Row],[TOTAL]],SUMIF(Material[FLAG],Material[[#This Row],[COUNT]]-1,Material[Bend90]),"")</f>
        <v/>
      </c>
      <c r="T2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5" s="159" t="str">
        <f>DATA[[#This Row],[Product]]</f>
        <v>Plastic</v>
      </c>
      <c r="AC25" s="160">
        <f>DATA[[#This Row],[Fnd_Xd]]</f>
        <v>0</v>
      </c>
      <c r="AD25" s="161" t="b">
        <f>IF(ISNUMBER(SEARCH("jun",DATA[[#This Row],[From_Type]])),TRUE,FALSE)</f>
        <v>0</v>
      </c>
      <c r="AE25" s="162" t="str">
        <f>IF(Material[[#This Row],[JUNCTION]],CONCATENATE(Material[[#This Row],[From]],Material[[#This Row],[Dia]],DATA[[#This Row],[From_Type]]),"")</f>
        <v/>
      </c>
      <c r="AF25" s="163" t="b">
        <f>IF(OR(DATA[[#This Row],[TOTAL]],COUNTIF(Material[[#This Row],[From]:[Dia]],"*total*")&gt;0),TRUE,FALSE)</f>
        <v>0</v>
      </c>
      <c r="AG25" s="163">
        <f>IF(Material[[#This Row],[TOTAL]],"",Material[[#This Row],[COUNT]])</f>
        <v>1</v>
      </c>
      <c r="AH25" s="164">
        <f>IF(Material[[#This Row],[TOTAL]],$AH24+1,IF($AH24="COUNT",1,$AH24))</f>
        <v>1</v>
      </c>
    </row>
    <row r="26" spans="1:34" x14ac:dyDescent="0.2">
      <c r="A26" s="139" t="str">
        <f>DATA[[#This Row],[From_ID]]&amp;IF(COUNTA(DATA[[#This Row],[From_ID2]]),"/"&amp;DATA[[#This Row],[From_ID2]],)</f>
        <v>SWMH16/RWP10</v>
      </c>
      <c r="B26" s="139" t="str">
        <f>DATA[[#This Row],[To_ID]]</f>
        <v>Aco</v>
      </c>
      <c r="C26" s="141">
        <f>DATA[[#This Row],[Dia]]</f>
        <v>100</v>
      </c>
      <c r="D26" s="142">
        <f>IF(Material[[#This Row],[TOTAL]],SUMIF(Material[FLAG],Material[[#This Row],[COUNT]]-1,Material[Length]),DATA[[#This Row],[Length]])</f>
        <v>1</v>
      </c>
      <c r="E2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2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2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2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6" s="155" t="str">
        <f>IF(Material[[#This Row],[TOTAL]],SUMIF(Material[FLAG],Material[[#This Row],[COUNT]]-1,Material[Bend15]),"")</f>
        <v/>
      </c>
      <c r="Q26" s="156" t="str">
        <f>IF(Material[[#This Row],[TOTAL]],SUMIF(Material[FLAG],Material[[#This Row],[COUNT]]-1,Material[Bend30]),"")</f>
        <v/>
      </c>
      <c r="R26" s="156" t="str">
        <f>IF(Material[[#This Row],[TOTAL]],SUMIF(Material[FLAG],Material[[#This Row],[COUNT]]-1,Material[Bend45]),"")</f>
        <v/>
      </c>
      <c r="S26" s="157" t="str">
        <f>IF(Material[[#This Row],[TOTAL]],SUMIF(Material[FLAG],Material[[#This Row],[COUNT]]-1,Material[Bend90]),"")</f>
        <v/>
      </c>
      <c r="T2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6" s="159" t="str">
        <f>DATA[[#This Row],[Product]]</f>
        <v>Plastic</v>
      </c>
      <c r="AC26" s="160">
        <f>DATA[[#This Row],[Fnd_Xd]]</f>
        <v>0</v>
      </c>
      <c r="AD26" s="161" t="b">
        <f>IF(ISNUMBER(SEARCH("jun",DATA[[#This Row],[From_Type]])),TRUE,FALSE)</f>
        <v>1</v>
      </c>
      <c r="AE26" s="162" t="str">
        <f>IF(Material[[#This Row],[JUNCTION]],CONCATENATE(Material[[#This Row],[From]],Material[[#This Row],[Dia]],DATA[[#This Row],[From_Type]]),"")</f>
        <v>SWMH16/RWP10100JunOb</v>
      </c>
      <c r="AF26" s="163" t="b">
        <f>IF(OR(DATA[[#This Row],[TOTAL]],COUNTIF(Material[[#This Row],[From]:[Dia]],"*total*")&gt;0),TRUE,FALSE)</f>
        <v>0</v>
      </c>
      <c r="AG26" s="163">
        <f>IF(Material[[#This Row],[TOTAL]],"",Material[[#This Row],[COUNT]])</f>
        <v>1</v>
      </c>
      <c r="AH26" s="164">
        <f>IF(Material[[#This Row],[TOTAL]],$AH25+1,IF($AH25="COUNT",1,$AH25))</f>
        <v>1</v>
      </c>
    </row>
    <row r="27" spans="1:34" x14ac:dyDescent="0.2">
      <c r="A27" s="139" t="str">
        <f>DATA[[#This Row],[From_ID]]&amp;IF(COUNTA(DATA[[#This Row],[From_ID2]]),"/"&amp;DATA[[#This Row],[From_ID2]],)</f>
        <v>SWMH07</v>
      </c>
      <c r="B27" s="139" t="str">
        <f>DATA[[#This Row],[To_ID]]</f>
        <v>SWMH10</v>
      </c>
      <c r="C27" s="141">
        <f>DATA[[#This Row],[Dia]]</f>
        <v>100</v>
      </c>
      <c r="D27" s="142">
        <f>IF(Material[[#This Row],[TOTAL]],SUMIF(Material[FLAG],Material[[#This Row],[COUNT]]-1,Material[Length]),DATA[[#This Row],[Length]])</f>
        <v>8.8000000000000007</v>
      </c>
      <c r="E2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2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2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2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7" s="155" t="str">
        <f>IF(Material[[#This Row],[TOTAL]],SUMIF(Material[FLAG],Material[[#This Row],[COUNT]]-1,Material[Bend15]),"")</f>
        <v/>
      </c>
      <c r="Q27" s="156" t="str">
        <f>IF(Material[[#This Row],[TOTAL]],SUMIF(Material[FLAG],Material[[#This Row],[COUNT]]-1,Material[Bend30]),"")</f>
        <v/>
      </c>
      <c r="R27" s="156" t="str">
        <f>IF(Material[[#This Row],[TOTAL]],SUMIF(Material[FLAG],Material[[#This Row],[COUNT]]-1,Material[Bend45]),"")</f>
        <v/>
      </c>
      <c r="S27" s="157" t="str">
        <f>IF(Material[[#This Row],[TOTAL]],SUMIF(Material[FLAG],Material[[#This Row],[COUNT]]-1,Material[Bend90]),"")</f>
        <v/>
      </c>
      <c r="T2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7" s="159" t="str">
        <f>DATA[[#This Row],[Product]]</f>
        <v>Plastic</v>
      </c>
      <c r="AC27" s="160">
        <f>DATA[[#This Row],[Fnd_Xd]]</f>
        <v>0</v>
      </c>
      <c r="AD27" s="161" t="b">
        <f>IF(ISNUMBER(SEARCH("jun",DATA[[#This Row],[From_Type]])),TRUE,FALSE)</f>
        <v>0</v>
      </c>
      <c r="AE27" s="162" t="str">
        <f>IF(Material[[#This Row],[JUNCTION]],CONCATENATE(Material[[#This Row],[From]],Material[[#This Row],[Dia]],DATA[[#This Row],[From_Type]]),"")</f>
        <v/>
      </c>
      <c r="AF27" s="163" t="b">
        <f>IF(OR(DATA[[#This Row],[TOTAL]],COUNTIF(Material[[#This Row],[From]:[Dia]],"*total*")&gt;0),TRUE,FALSE)</f>
        <v>0</v>
      </c>
      <c r="AG27" s="163">
        <f>IF(Material[[#This Row],[TOTAL]],"",Material[[#This Row],[COUNT]])</f>
        <v>1</v>
      </c>
      <c r="AH27" s="164">
        <f>IF(Material[[#This Row],[TOTAL]],$AH26+1,IF($AH26="COUNT",1,$AH26))</f>
        <v>1</v>
      </c>
    </row>
    <row r="28" spans="1:34" x14ac:dyDescent="0.2">
      <c r="A28" s="139" t="str">
        <f>DATA[[#This Row],[From_ID]]&amp;IF(COUNTA(DATA[[#This Row],[From_ID2]]),"/"&amp;DATA[[#This Row],[From_ID2]],)</f>
        <v>SWMH10</v>
      </c>
      <c r="B28" s="139" t="str">
        <f>DATA[[#This Row],[To_ID]]</f>
        <v>SWMH14</v>
      </c>
      <c r="C28" s="141">
        <f>DATA[[#This Row],[Dia]]</f>
        <v>100</v>
      </c>
      <c r="D28" s="142">
        <f>IF(Material[[#This Row],[TOTAL]],SUMIF(Material[FLAG],Material[[#This Row],[COUNT]]-1,Material[Length]),DATA[[#This Row],[Length]])</f>
        <v>4.2</v>
      </c>
      <c r="E2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2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2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2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2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8" s="155" t="str">
        <f>IF(Material[[#This Row],[TOTAL]],SUMIF(Material[FLAG],Material[[#This Row],[COUNT]]-1,Material[Bend15]),"")</f>
        <v/>
      </c>
      <c r="Q28" s="156" t="str">
        <f>IF(Material[[#This Row],[TOTAL]],SUMIF(Material[FLAG],Material[[#This Row],[COUNT]]-1,Material[Bend30]),"")</f>
        <v/>
      </c>
      <c r="R28" s="156" t="str">
        <f>IF(Material[[#This Row],[TOTAL]],SUMIF(Material[FLAG],Material[[#This Row],[COUNT]]-1,Material[Bend45]),"")</f>
        <v/>
      </c>
      <c r="S28" s="157" t="str">
        <f>IF(Material[[#This Row],[TOTAL]],SUMIF(Material[FLAG],Material[[#This Row],[COUNT]]-1,Material[Bend90]),"")</f>
        <v/>
      </c>
      <c r="T2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2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8" s="159" t="str">
        <f>DATA[[#This Row],[Product]]</f>
        <v>Plastic</v>
      </c>
      <c r="AC28" s="160">
        <f>DATA[[#This Row],[Fnd_Xd]]</f>
        <v>0</v>
      </c>
      <c r="AD28" s="161" t="b">
        <f>IF(ISNUMBER(SEARCH("jun",DATA[[#This Row],[From_Type]])),TRUE,FALSE)</f>
        <v>0</v>
      </c>
      <c r="AE28" s="162" t="str">
        <f>IF(Material[[#This Row],[JUNCTION]],CONCATENATE(Material[[#This Row],[From]],Material[[#This Row],[Dia]],DATA[[#This Row],[From_Type]]),"")</f>
        <v/>
      </c>
      <c r="AF28" s="163" t="b">
        <f>IF(OR(DATA[[#This Row],[TOTAL]],COUNTIF(Material[[#This Row],[From]:[Dia]],"*total*")&gt;0),TRUE,FALSE)</f>
        <v>0</v>
      </c>
      <c r="AG28" s="163">
        <f>IF(Material[[#This Row],[TOTAL]],"",Material[[#This Row],[COUNT]])</f>
        <v>1</v>
      </c>
      <c r="AH28" s="164">
        <f>IF(Material[[#This Row],[TOTAL]],$AH27+1,IF($AH27="COUNT",1,$AH27))</f>
        <v>1</v>
      </c>
    </row>
    <row r="29" spans="1:34" x14ac:dyDescent="0.2">
      <c r="A29" s="139" t="str">
        <f>DATA[[#This Row],[From_ID]]&amp;IF(COUNTA(DATA[[#This Row],[From_ID2]]),"/"&amp;DATA[[#This Row],[From_ID2]],)</f>
        <v>SWMH14</v>
      </c>
      <c r="B29" s="139" t="str">
        <f>DATA[[#This Row],[To_ID]]</f>
        <v>RWP11</v>
      </c>
      <c r="C29" s="141">
        <f>DATA[[#This Row],[Dia]]</f>
        <v>100</v>
      </c>
      <c r="D29" s="142">
        <f>IF(Material[[#This Row],[TOTAL]],SUMIF(Material[FLAG],Material[[#This Row],[COUNT]]-1,Material[Length]),DATA[[#This Row],[Length]])</f>
        <v>5.35</v>
      </c>
      <c r="E2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2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2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29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2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2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2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2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2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2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2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29" s="155" t="str">
        <f>IF(Material[[#This Row],[TOTAL]],SUMIF(Material[FLAG],Material[[#This Row],[COUNT]]-1,Material[Bend15]),"")</f>
        <v/>
      </c>
      <c r="Q29" s="156" t="str">
        <f>IF(Material[[#This Row],[TOTAL]],SUMIF(Material[FLAG],Material[[#This Row],[COUNT]]-1,Material[Bend30]),"")</f>
        <v/>
      </c>
      <c r="R29" s="156" t="str">
        <f>IF(Material[[#This Row],[TOTAL]],SUMIF(Material[FLAG],Material[[#This Row],[COUNT]]-1,Material[Bend45]),"")</f>
        <v/>
      </c>
      <c r="S29" s="157" t="str">
        <f>IF(Material[[#This Row],[TOTAL]],SUMIF(Material[FLAG],Material[[#This Row],[COUNT]]-1,Material[Bend90]),"")</f>
        <v/>
      </c>
      <c r="T2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2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2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2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2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2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2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2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29" s="159" t="str">
        <f>DATA[[#This Row],[Product]]</f>
        <v>Plastic</v>
      </c>
      <c r="AC29" s="160">
        <f>DATA[[#This Row],[Fnd_Xd]]</f>
        <v>0</v>
      </c>
      <c r="AD29" s="161" t="b">
        <f>IF(ISNUMBER(SEARCH("jun",DATA[[#This Row],[From_Type]])),TRUE,FALSE)</f>
        <v>0</v>
      </c>
      <c r="AE29" s="162" t="str">
        <f>IF(Material[[#This Row],[JUNCTION]],CONCATENATE(Material[[#This Row],[From]],Material[[#This Row],[Dia]],DATA[[#This Row],[From_Type]]),"")</f>
        <v/>
      </c>
      <c r="AF29" s="163" t="b">
        <f>IF(OR(DATA[[#This Row],[TOTAL]],COUNTIF(Material[[#This Row],[From]:[Dia]],"*total*")&gt;0),TRUE,FALSE)</f>
        <v>0</v>
      </c>
      <c r="AG29" s="163">
        <f>IF(Material[[#This Row],[TOTAL]],"",Material[[#This Row],[COUNT]])</f>
        <v>1</v>
      </c>
      <c r="AH29" s="164">
        <f>IF(Material[[#This Row],[TOTAL]],$AH28+1,IF($AH28="COUNT",1,$AH28))</f>
        <v>1</v>
      </c>
    </row>
    <row r="30" spans="1:34" x14ac:dyDescent="0.2">
      <c r="A30" s="139" t="str">
        <f>DATA[[#This Row],[From_ID]]&amp;IF(COUNTA(DATA[[#This Row],[From_ID2]]),"/"&amp;DATA[[#This Row],[From_ID2]],)</f>
        <v>SWMH14/RWP11</v>
      </c>
      <c r="B30" s="139" t="str">
        <f>DATA[[#This Row],[To_ID]]</f>
        <v>Aco</v>
      </c>
      <c r="C30" s="141">
        <f>DATA[[#This Row],[Dia]]</f>
        <v>100</v>
      </c>
      <c r="D30" s="142">
        <f>IF(Material[[#This Row],[TOTAL]],SUMIF(Material[FLAG],Material[[#This Row],[COUNT]]-1,Material[Length]),DATA[[#This Row],[Length]])</f>
        <v>1</v>
      </c>
      <c r="E3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3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3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3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0" s="155" t="str">
        <f>IF(Material[[#This Row],[TOTAL]],SUMIF(Material[FLAG],Material[[#This Row],[COUNT]]-1,Material[Bend15]),"")</f>
        <v/>
      </c>
      <c r="Q30" s="156" t="str">
        <f>IF(Material[[#This Row],[TOTAL]],SUMIF(Material[FLAG],Material[[#This Row],[COUNT]]-1,Material[Bend30]),"")</f>
        <v/>
      </c>
      <c r="R30" s="156" t="str">
        <f>IF(Material[[#This Row],[TOTAL]],SUMIF(Material[FLAG],Material[[#This Row],[COUNT]]-1,Material[Bend45]),"")</f>
        <v/>
      </c>
      <c r="S30" s="157" t="str">
        <f>IF(Material[[#This Row],[TOTAL]],SUMIF(Material[FLAG],Material[[#This Row],[COUNT]]-1,Material[Bend90]),"")</f>
        <v/>
      </c>
      <c r="T3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0" s="159" t="str">
        <f>DATA[[#This Row],[Product]]</f>
        <v>Plastic</v>
      </c>
      <c r="AC30" s="160">
        <f>DATA[[#This Row],[Fnd_Xd]]</f>
        <v>0</v>
      </c>
      <c r="AD30" s="161" t="b">
        <f>IF(ISNUMBER(SEARCH("jun",DATA[[#This Row],[From_Type]])),TRUE,FALSE)</f>
        <v>1</v>
      </c>
      <c r="AE30" s="162" t="str">
        <f>IF(Material[[#This Row],[JUNCTION]],CONCATENATE(Material[[#This Row],[From]],Material[[#This Row],[Dia]],DATA[[#This Row],[From_Type]]),"")</f>
        <v>SWMH14/RWP11100JunOb</v>
      </c>
      <c r="AF30" s="163" t="b">
        <f>IF(OR(DATA[[#This Row],[TOTAL]],COUNTIF(Material[[#This Row],[From]:[Dia]],"*total*")&gt;0),TRUE,FALSE)</f>
        <v>0</v>
      </c>
      <c r="AG30" s="163">
        <f>IF(Material[[#This Row],[TOTAL]],"",Material[[#This Row],[COUNT]])</f>
        <v>1</v>
      </c>
      <c r="AH30" s="164">
        <f>IF(Material[[#This Row],[TOTAL]],$AH29+1,IF($AH29="COUNT",1,$AH29))</f>
        <v>1</v>
      </c>
    </row>
    <row r="31" spans="1:34" x14ac:dyDescent="0.2">
      <c r="A31" s="139" t="str">
        <f>DATA[[#This Row],[From_ID]]&amp;IF(COUNTA(DATA[[#This Row],[From_ID2]]),"/"&amp;DATA[[#This Row],[From_ID2]],)</f>
        <v>SWMH14</v>
      </c>
      <c r="B31" s="139" t="str">
        <f>DATA[[#This Row],[To_ID]]</f>
        <v>RWP12</v>
      </c>
      <c r="C31" s="141">
        <f>DATA[[#This Row],[Dia]]</f>
        <v>100</v>
      </c>
      <c r="D31" s="142">
        <f>IF(Material[[#This Row],[TOTAL]],SUMIF(Material[FLAG],Material[[#This Row],[COUNT]]-1,Material[Length]),DATA[[#This Row],[Length]])</f>
        <v>3.35</v>
      </c>
      <c r="E3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3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1" s="155" t="str">
        <f>IF(Material[[#This Row],[TOTAL]],SUMIF(Material[FLAG],Material[[#This Row],[COUNT]]-1,Material[Bend15]),"")</f>
        <v/>
      </c>
      <c r="Q31" s="156" t="str">
        <f>IF(Material[[#This Row],[TOTAL]],SUMIF(Material[FLAG],Material[[#This Row],[COUNT]]-1,Material[Bend30]),"")</f>
        <v/>
      </c>
      <c r="R31" s="156" t="str">
        <f>IF(Material[[#This Row],[TOTAL]],SUMIF(Material[FLAG],Material[[#This Row],[COUNT]]-1,Material[Bend45]),"")</f>
        <v/>
      </c>
      <c r="S31" s="157" t="str">
        <f>IF(Material[[#This Row],[TOTAL]],SUMIF(Material[FLAG],Material[[#This Row],[COUNT]]-1,Material[Bend90]),"")</f>
        <v/>
      </c>
      <c r="T3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3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1" s="159" t="str">
        <f>DATA[[#This Row],[Product]]</f>
        <v>Plastic</v>
      </c>
      <c r="AC31" s="160">
        <f>DATA[[#This Row],[Fnd_Xd]]</f>
        <v>0</v>
      </c>
      <c r="AD31" s="161" t="b">
        <f>IF(ISNUMBER(SEARCH("jun",DATA[[#This Row],[From_Type]])),TRUE,FALSE)</f>
        <v>0</v>
      </c>
      <c r="AE31" s="162" t="str">
        <f>IF(Material[[#This Row],[JUNCTION]],CONCATENATE(Material[[#This Row],[From]],Material[[#This Row],[Dia]],DATA[[#This Row],[From_Type]]),"")</f>
        <v/>
      </c>
      <c r="AF31" s="163" t="b">
        <f>IF(OR(DATA[[#This Row],[TOTAL]],COUNTIF(Material[[#This Row],[From]:[Dia]],"*total*")&gt;0),TRUE,FALSE)</f>
        <v>0</v>
      </c>
      <c r="AG31" s="163">
        <f>IF(Material[[#This Row],[TOTAL]],"",Material[[#This Row],[COUNT]])</f>
        <v>1</v>
      </c>
      <c r="AH31" s="164">
        <f>IF(Material[[#This Row],[TOTAL]],$AH30+1,IF($AH30="COUNT",1,$AH30))</f>
        <v>1</v>
      </c>
    </row>
    <row r="32" spans="1:34" x14ac:dyDescent="0.2">
      <c r="A32" s="139" t="str">
        <f>DATA[[#This Row],[From_ID]]&amp;IF(COUNTA(DATA[[#This Row],[From_ID2]]),"/"&amp;DATA[[#This Row],[From_ID2]],)</f>
        <v>SWMH14</v>
      </c>
      <c r="B32" s="139" t="str">
        <f>DATA[[#This Row],[To_ID]]</f>
        <v>RWP13</v>
      </c>
      <c r="C32" s="141">
        <f>DATA[[#This Row],[Dia]]</f>
        <v>100</v>
      </c>
      <c r="D32" s="142">
        <f>IF(Material[[#This Row],[TOTAL]],SUMIF(Material[FLAG],Material[[#This Row],[COUNT]]-1,Material[Length]),DATA[[#This Row],[Length]])</f>
        <v>11.2</v>
      </c>
      <c r="E3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3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3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2" s="155" t="str">
        <f>IF(Material[[#This Row],[TOTAL]],SUMIF(Material[FLAG],Material[[#This Row],[COUNT]]-1,Material[Bend15]),"")</f>
        <v/>
      </c>
      <c r="Q32" s="156" t="str">
        <f>IF(Material[[#This Row],[TOTAL]],SUMIF(Material[FLAG],Material[[#This Row],[COUNT]]-1,Material[Bend30]),"")</f>
        <v/>
      </c>
      <c r="R32" s="156" t="str">
        <f>IF(Material[[#This Row],[TOTAL]],SUMIF(Material[FLAG],Material[[#This Row],[COUNT]]-1,Material[Bend45]),"")</f>
        <v/>
      </c>
      <c r="S32" s="157" t="str">
        <f>IF(Material[[#This Row],[TOTAL]],SUMIF(Material[FLAG],Material[[#This Row],[COUNT]]-1,Material[Bend90]),"")</f>
        <v/>
      </c>
      <c r="T3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3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2" s="159" t="str">
        <f>DATA[[#This Row],[Product]]</f>
        <v>Plastic</v>
      </c>
      <c r="AC32" s="160">
        <f>DATA[[#This Row],[Fnd_Xd]]</f>
        <v>0</v>
      </c>
      <c r="AD32" s="161" t="b">
        <f>IF(ISNUMBER(SEARCH("jun",DATA[[#This Row],[From_Type]])),TRUE,FALSE)</f>
        <v>0</v>
      </c>
      <c r="AE32" s="162" t="str">
        <f>IF(Material[[#This Row],[JUNCTION]],CONCATENATE(Material[[#This Row],[From]],Material[[#This Row],[Dia]],DATA[[#This Row],[From_Type]]),"")</f>
        <v/>
      </c>
      <c r="AF32" s="163" t="b">
        <f>IF(OR(DATA[[#This Row],[TOTAL]],COUNTIF(Material[[#This Row],[From]:[Dia]],"*total*")&gt;0),TRUE,FALSE)</f>
        <v>0</v>
      </c>
      <c r="AG32" s="163">
        <f>IF(Material[[#This Row],[TOTAL]],"",Material[[#This Row],[COUNT]])</f>
        <v>1</v>
      </c>
      <c r="AH32" s="164">
        <f>IF(Material[[#This Row],[TOTAL]],$AH31+1,IF($AH31="COUNT",1,$AH31))</f>
        <v>1</v>
      </c>
    </row>
    <row r="33" spans="1:34" x14ac:dyDescent="0.2">
      <c r="A33" s="139" t="str">
        <f>DATA[[#This Row],[From_ID]]&amp;IF(COUNTA(DATA[[#This Row],[From_ID2]]),"/"&amp;DATA[[#This Row],[From_ID2]],)</f>
        <v>SWMH10</v>
      </c>
      <c r="B33" s="139" t="str">
        <f>DATA[[#This Row],[To_ID]]</f>
        <v>Aco</v>
      </c>
      <c r="C33" s="141">
        <f>DATA[[#This Row],[Dia]]</f>
        <v>100</v>
      </c>
      <c r="D33" s="142">
        <f>IF(Material[[#This Row],[TOTAL]],SUMIF(Material[FLAG],Material[[#This Row],[COUNT]]-1,Material[Length]),DATA[[#This Row],[Length]])</f>
        <v>4.3</v>
      </c>
      <c r="E3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3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3" s="155" t="str">
        <f>IF(Material[[#This Row],[TOTAL]],SUMIF(Material[FLAG],Material[[#This Row],[COUNT]]-1,Material[Bend15]),"")</f>
        <v/>
      </c>
      <c r="Q33" s="156" t="str">
        <f>IF(Material[[#This Row],[TOTAL]],SUMIF(Material[FLAG],Material[[#This Row],[COUNT]]-1,Material[Bend30]),"")</f>
        <v/>
      </c>
      <c r="R33" s="156" t="str">
        <f>IF(Material[[#This Row],[TOTAL]],SUMIF(Material[FLAG],Material[[#This Row],[COUNT]]-1,Material[Bend45]),"")</f>
        <v/>
      </c>
      <c r="S33" s="157" t="str">
        <f>IF(Material[[#This Row],[TOTAL]],SUMIF(Material[FLAG],Material[[#This Row],[COUNT]]-1,Material[Bend90]),"")</f>
        <v/>
      </c>
      <c r="T3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3" s="159" t="str">
        <f>DATA[[#This Row],[Product]]</f>
        <v>Plastic</v>
      </c>
      <c r="AC33" s="160">
        <f>DATA[[#This Row],[Fnd_Xd]]</f>
        <v>0</v>
      </c>
      <c r="AD33" s="161" t="b">
        <f>IF(ISNUMBER(SEARCH("jun",DATA[[#This Row],[From_Type]])),TRUE,FALSE)</f>
        <v>0</v>
      </c>
      <c r="AE33" s="162" t="str">
        <f>IF(Material[[#This Row],[JUNCTION]],CONCATENATE(Material[[#This Row],[From]],Material[[#This Row],[Dia]],DATA[[#This Row],[From_Type]]),"")</f>
        <v/>
      </c>
      <c r="AF33" s="163" t="b">
        <f>IF(OR(DATA[[#This Row],[TOTAL]],COUNTIF(Material[[#This Row],[From]:[Dia]],"*total*")&gt;0),TRUE,FALSE)</f>
        <v>0</v>
      </c>
      <c r="AG33" s="163">
        <f>IF(Material[[#This Row],[TOTAL]],"",Material[[#This Row],[COUNT]])</f>
        <v>1</v>
      </c>
      <c r="AH33" s="164">
        <f>IF(Material[[#This Row],[TOTAL]],$AH32+1,IF($AH32="COUNT",1,$AH32))</f>
        <v>1</v>
      </c>
    </row>
    <row r="34" spans="1:34" x14ac:dyDescent="0.2">
      <c r="A34" s="139" t="str">
        <f>DATA[[#This Row],[From_ID]]&amp;IF(COUNTA(DATA[[#This Row],[From_ID2]]),"/"&amp;DATA[[#This Row],[From_ID2]],)</f>
        <v>SWMH07</v>
      </c>
      <c r="B34" s="139" t="str">
        <f>DATA[[#This Row],[To_ID]]</f>
        <v>SWMH08</v>
      </c>
      <c r="C34" s="141">
        <f>DATA[[#This Row],[Dia]]</f>
        <v>100</v>
      </c>
      <c r="D34" s="142">
        <f>IF(Material[[#This Row],[TOTAL]],SUMIF(Material[FLAG],Material[[#This Row],[COUNT]]-1,Material[Length]),DATA[[#This Row],[Length]])</f>
        <v>18.25</v>
      </c>
      <c r="E3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6.5</v>
      </c>
      <c r="F3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3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3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4" s="155" t="str">
        <f>IF(Material[[#This Row],[TOTAL]],SUMIF(Material[FLAG],Material[[#This Row],[COUNT]]-1,Material[Bend15]),"")</f>
        <v/>
      </c>
      <c r="Q34" s="156" t="str">
        <f>IF(Material[[#This Row],[TOTAL]],SUMIF(Material[FLAG],Material[[#This Row],[COUNT]]-1,Material[Bend30]),"")</f>
        <v/>
      </c>
      <c r="R34" s="156" t="str">
        <f>IF(Material[[#This Row],[TOTAL]],SUMIF(Material[FLAG],Material[[#This Row],[COUNT]]-1,Material[Bend45]),"")</f>
        <v/>
      </c>
      <c r="S34" s="157" t="str">
        <f>IF(Material[[#This Row],[TOTAL]],SUMIF(Material[FLAG],Material[[#This Row],[COUNT]]-1,Material[Bend90]),"")</f>
        <v/>
      </c>
      <c r="T3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4" s="159" t="str">
        <f>DATA[[#This Row],[Product]]</f>
        <v>Plastic</v>
      </c>
      <c r="AC34" s="160">
        <f>DATA[[#This Row],[Fnd_Xd]]</f>
        <v>0</v>
      </c>
      <c r="AD34" s="161" t="b">
        <f>IF(ISNUMBER(SEARCH("jun",DATA[[#This Row],[From_Type]])),TRUE,FALSE)</f>
        <v>0</v>
      </c>
      <c r="AE34" s="162" t="str">
        <f>IF(Material[[#This Row],[JUNCTION]],CONCATENATE(Material[[#This Row],[From]],Material[[#This Row],[Dia]],DATA[[#This Row],[From_Type]]),"")</f>
        <v/>
      </c>
      <c r="AF34" s="163" t="b">
        <f>IF(OR(DATA[[#This Row],[TOTAL]],COUNTIF(Material[[#This Row],[From]:[Dia]],"*total*")&gt;0),TRUE,FALSE)</f>
        <v>0</v>
      </c>
      <c r="AG34" s="163">
        <f>IF(Material[[#This Row],[TOTAL]],"",Material[[#This Row],[COUNT]])</f>
        <v>1</v>
      </c>
      <c r="AH34" s="164">
        <f>IF(Material[[#This Row],[TOTAL]],$AH33+1,IF($AH33="COUNT",1,$AH33))</f>
        <v>1</v>
      </c>
    </row>
    <row r="35" spans="1:34" x14ac:dyDescent="0.2">
      <c r="A35" s="139" t="str">
        <f>DATA[[#This Row],[From_ID]]&amp;IF(COUNTA(DATA[[#This Row],[From_ID2]]),"/"&amp;DATA[[#This Row],[From_ID2]],)</f>
        <v>SWMH11</v>
      </c>
      <c r="B35" s="139" t="str">
        <f>DATA[[#This Row],[To_ID]]</f>
        <v>Aco</v>
      </c>
      <c r="C35" s="141">
        <f>DATA[[#This Row],[Dia]]</f>
        <v>100</v>
      </c>
      <c r="D35" s="142">
        <f>IF(Material[[#This Row],[TOTAL]],SUMIF(Material[FLAG],Material[[#This Row],[COUNT]]-1,Material[Length]),DATA[[#This Row],[Length]])</f>
        <v>2.95</v>
      </c>
      <c r="E3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3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35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5" s="155" t="str">
        <f>IF(Material[[#This Row],[TOTAL]],SUMIF(Material[FLAG],Material[[#This Row],[COUNT]]-1,Material[Bend15]),"")</f>
        <v/>
      </c>
      <c r="Q35" s="156" t="str">
        <f>IF(Material[[#This Row],[TOTAL]],SUMIF(Material[FLAG],Material[[#This Row],[COUNT]]-1,Material[Bend30]),"")</f>
        <v/>
      </c>
      <c r="R35" s="156" t="str">
        <f>IF(Material[[#This Row],[TOTAL]],SUMIF(Material[FLAG],Material[[#This Row],[COUNT]]-1,Material[Bend45]),"")</f>
        <v/>
      </c>
      <c r="S35" s="157" t="str">
        <f>IF(Material[[#This Row],[TOTAL]],SUMIF(Material[FLAG],Material[[#This Row],[COUNT]]-1,Material[Bend90]),"")</f>
        <v/>
      </c>
      <c r="T3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5" s="159" t="str">
        <f>DATA[[#This Row],[Product]]</f>
        <v>Plastic</v>
      </c>
      <c r="AC35" s="160">
        <f>DATA[[#This Row],[Fnd_Xd]]</f>
        <v>0</v>
      </c>
      <c r="AD35" s="161" t="b">
        <f>IF(ISNUMBER(SEARCH("jun",DATA[[#This Row],[From_Type]])),TRUE,FALSE)</f>
        <v>0</v>
      </c>
      <c r="AE35" s="162" t="str">
        <f>IF(Material[[#This Row],[JUNCTION]],CONCATENATE(Material[[#This Row],[From]],Material[[#This Row],[Dia]],DATA[[#This Row],[From_Type]]),"")</f>
        <v/>
      </c>
      <c r="AF35" s="163" t="b">
        <f>IF(OR(DATA[[#This Row],[TOTAL]],COUNTIF(Material[[#This Row],[From]:[Dia]],"*total*")&gt;0),TRUE,FALSE)</f>
        <v>0</v>
      </c>
      <c r="AG35" s="163">
        <f>IF(Material[[#This Row],[TOTAL]],"",Material[[#This Row],[COUNT]])</f>
        <v>1</v>
      </c>
      <c r="AH35" s="164">
        <f>IF(Material[[#This Row],[TOTAL]],$AH34+1,IF($AH34="COUNT",1,$AH34))</f>
        <v>1</v>
      </c>
    </row>
    <row r="36" spans="1:34" x14ac:dyDescent="0.2">
      <c r="A36" s="139" t="str">
        <f>DATA[[#This Row],[From_ID]]&amp;IF(COUNTA(DATA[[#This Row],[From_ID2]]),"/"&amp;DATA[[#This Row],[From_ID2]],)</f>
        <v>SWMH08</v>
      </c>
      <c r="B36" s="139" t="str">
        <f>DATA[[#This Row],[To_ID]]</f>
        <v>SWMH09</v>
      </c>
      <c r="C36" s="141">
        <f>DATA[[#This Row],[Dia]]</f>
        <v>100</v>
      </c>
      <c r="D36" s="142">
        <f>IF(Material[[#This Row],[TOTAL]],SUMIF(Material[FLAG],Material[[#This Row],[COUNT]]-1,Material[Length]),DATA[[#This Row],[Length]])</f>
        <v>2.8</v>
      </c>
      <c r="E3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3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3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3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6" s="155" t="str">
        <f>IF(Material[[#This Row],[TOTAL]],SUMIF(Material[FLAG],Material[[#This Row],[COUNT]]-1,Material[Bend15]),"")</f>
        <v/>
      </c>
      <c r="Q36" s="156" t="str">
        <f>IF(Material[[#This Row],[TOTAL]],SUMIF(Material[FLAG],Material[[#This Row],[COUNT]]-1,Material[Bend30]),"")</f>
        <v/>
      </c>
      <c r="R36" s="156" t="str">
        <f>IF(Material[[#This Row],[TOTAL]],SUMIF(Material[FLAG],Material[[#This Row],[COUNT]]-1,Material[Bend45]),"")</f>
        <v/>
      </c>
      <c r="S36" s="157" t="str">
        <f>IF(Material[[#This Row],[TOTAL]],SUMIF(Material[FLAG],Material[[#This Row],[COUNT]]-1,Material[Bend90]),"")</f>
        <v/>
      </c>
      <c r="T3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6" s="159" t="str">
        <f>DATA[[#This Row],[Product]]</f>
        <v>Plastic</v>
      </c>
      <c r="AC36" s="160">
        <f>DATA[[#This Row],[Fnd_Xd]]</f>
        <v>0</v>
      </c>
      <c r="AD36" s="161" t="b">
        <f>IF(ISNUMBER(SEARCH("jun",DATA[[#This Row],[From_Type]])),TRUE,FALSE)</f>
        <v>0</v>
      </c>
      <c r="AE36" s="162" t="str">
        <f>IF(Material[[#This Row],[JUNCTION]],CONCATENATE(Material[[#This Row],[From]],Material[[#This Row],[Dia]],DATA[[#This Row],[From_Type]]),"")</f>
        <v/>
      </c>
      <c r="AF36" s="163" t="b">
        <f>IF(OR(DATA[[#This Row],[TOTAL]],COUNTIF(Material[[#This Row],[From]:[Dia]],"*total*")&gt;0),TRUE,FALSE)</f>
        <v>0</v>
      </c>
      <c r="AG36" s="163">
        <f>IF(Material[[#This Row],[TOTAL]],"",Material[[#This Row],[COUNT]])</f>
        <v>1</v>
      </c>
      <c r="AH36" s="164">
        <f>IF(Material[[#This Row],[TOTAL]],$AH35+1,IF($AH35="COUNT",1,$AH35))</f>
        <v>1</v>
      </c>
    </row>
    <row r="37" spans="1:34" x14ac:dyDescent="0.2">
      <c r="A37" s="139" t="str">
        <f>DATA[[#This Row],[From_ID]]&amp;IF(COUNTA(DATA[[#This Row],[From_ID2]]),"/"&amp;DATA[[#This Row],[From_ID2]],)</f>
        <v>SWMH08</v>
      </c>
      <c r="B37" s="139" t="str">
        <f>DATA[[#This Row],[To_ID]]</f>
        <v>Aco</v>
      </c>
      <c r="C37" s="141">
        <f>DATA[[#This Row],[Dia]]</f>
        <v>100</v>
      </c>
      <c r="D37" s="142">
        <f>IF(Material[[#This Row],[TOTAL]],SUMIF(Material[FLAG],Material[[#This Row],[COUNT]]-1,Material[Length]),DATA[[#This Row],[Length]])</f>
        <v>3.65</v>
      </c>
      <c r="E3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3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7" s="155" t="str">
        <f>IF(Material[[#This Row],[TOTAL]],SUMIF(Material[FLAG],Material[[#This Row],[COUNT]]-1,Material[Bend15]),"")</f>
        <v/>
      </c>
      <c r="Q37" s="156" t="str">
        <f>IF(Material[[#This Row],[TOTAL]],SUMIF(Material[FLAG],Material[[#This Row],[COUNT]]-1,Material[Bend30]),"")</f>
        <v/>
      </c>
      <c r="R37" s="156" t="str">
        <f>IF(Material[[#This Row],[TOTAL]],SUMIF(Material[FLAG],Material[[#This Row],[COUNT]]-1,Material[Bend45]),"")</f>
        <v/>
      </c>
      <c r="S37" s="157" t="str">
        <f>IF(Material[[#This Row],[TOTAL]],SUMIF(Material[FLAG],Material[[#This Row],[COUNT]]-1,Material[Bend90]),"")</f>
        <v/>
      </c>
      <c r="T3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7" s="159" t="str">
        <f>DATA[[#This Row],[Product]]</f>
        <v>Plastic</v>
      </c>
      <c r="AC37" s="160">
        <f>DATA[[#This Row],[Fnd_Xd]]</f>
        <v>0</v>
      </c>
      <c r="AD37" s="161" t="b">
        <f>IF(ISNUMBER(SEARCH("jun",DATA[[#This Row],[From_Type]])),TRUE,FALSE)</f>
        <v>0</v>
      </c>
      <c r="AE37" s="162" t="str">
        <f>IF(Material[[#This Row],[JUNCTION]],CONCATENATE(Material[[#This Row],[From]],Material[[#This Row],[Dia]],DATA[[#This Row],[From_Type]]),"")</f>
        <v/>
      </c>
      <c r="AF37" s="163" t="b">
        <f>IF(OR(DATA[[#This Row],[TOTAL]],COUNTIF(Material[[#This Row],[From]:[Dia]],"*total*")&gt;0),TRUE,FALSE)</f>
        <v>0</v>
      </c>
      <c r="AG37" s="163">
        <f>IF(Material[[#This Row],[TOTAL]],"",Material[[#This Row],[COUNT]])</f>
        <v>1</v>
      </c>
      <c r="AH37" s="164">
        <f>IF(Material[[#This Row],[TOTAL]],$AH36+1,IF($AH36="COUNT",1,$AH36))</f>
        <v>1</v>
      </c>
    </row>
    <row r="38" spans="1:34" x14ac:dyDescent="0.2">
      <c r="A38" s="139" t="str">
        <f>DATA[[#This Row],[From_ID]]&amp;IF(COUNTA(DATA[[#This Row],[From_ID2]]),"/"&amp;DATA[[#This Row],[From_ID2]],)</f>
        <v>SWMH08</v>
      </c>
      <c r="B38" s="139" t="str">
        <f>DATA[[#This Row],[To_ID]]</f>
        <v>Aco</v>
      </c>
      <c r="C38" s="141">
        <f>DATA[[#This Row],[Dia]]</f>
        <v>100</v>
      </c>
      <c r="D38" s="142">
        <f>IF(Material[[#This Row],[TOTAL]],SUMIF(Material[FLAG],Material[[#This Row],[COUNT]]-1,Material[Length]),DATA[[#This Row],[Length]])</f>
        <v>6.3</v>
      </c>
      <c r="E3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3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3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3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8" s="155" t="str">
        <f>IF(Material[[#This Row],[TOTAL]],SUMIF(Material[FLAG],Material[[#This Row],[COUNT]]-1,Material[Bend15]),"")</f>
        <v/>
      </c>
      <c r="Q38" s="156" t="str">
        <f>IF(Material[[#This Row],[TOTAL]],SUMIF(Material[FLAG],Material[[#This Row],[COUNT]]-1,Material[Bend30]),"")</f>
        <v/>
      </c>
      <c r="R38" s="156" t="str">
        <f>IF(Material[[#This Row],[TOTAL]],SUMIF(Material[FLAG],Material[[#This Row],[COUNT]]-1,Material[Bend45]),"")</f>
        <v/>
      </c>
      <c r="S38" s="157" t="str">
        <f>IF(Material[[#This Row],[TOTAL]],SUMIF(Material[FLAG],Material[[#This Row],[COUNT]]-1,Material[Bend90]),"")</f>
        <v/>
      </c>
      <c r="T3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8" s="159" t="str">
        <f>DATA[[#This Row],[Product]]</f>
        <v>Plastic</v>
      </c>
      <c r="AC38" s="160">
        <f>DATA[[#This Row],[Fnd_Xd]]</f>
        <v>0</v>
      </c>
      <c r="AD38" s="161" t="b">
        <f>IF(ISNUMBER(SEARCH("jun",DATA[[#This Row],[From_Type]])),TRUE,FALSE)</f>
        <v>0</v>
      </c>
      <c r="AE38" s="162" t="str">
        <f>IF(Material[[#This Row],[JUNCTION]],CONCATENATE(Material[[#This Row],[From]],Material[[#This Row],[Dia]],DATA[[#This Row],[From_Type]]),"")</f>
        <v/>
      </c>
      <c r="AF38" s="163" t="b">
        <f>IF(OR(DATA[[#This Row],[TOTAL]],COUNTIF(Material[[#This Row],[From]:[Dia]],"*total*")&gt;0),TRUE,FALSE)</f>
        <v>0</v>
      </c>
      <c r="AG38" s="163">
        <f>IF(Material[[#This Row],[TOTAL]],"",Material[[#This Row],[COUNT]])</f>
        <v>1</v>
      </c>
      <c r="AH38" s="164">
        <f>IF(Material[[#This Row],[TOTAL]],$AH37+1,IF($AH37="COUNT",1,$AH37))</f>
        <v>1</v>
      </c>
    </row>
    <row r="39" spans="1:34" x14ac:dyDescent="0.2">
      <c r="A39" s="139" t="str">
        <f>DATA[[#This Row],[From_ID]]&amp;IF(COUNTA(DATA[[#This Row],[From_ID2]]),"/"&amp;DATA[[#This Row],[From_ID2]],)</f>
        <v>SWMH09</v>
      </c>
      <c r="B39" s="139" t="str">
        <f>DATA[[#This Row],[To_ID]]</f>
        <v>SWMH17</v>
      </c>
      <c r="C39" s="141">
        <f>DATA[[#This Row],[Dia]]</f>
        <v>100</v>
      </c>
      <c r="D39" s="142">
        <f>IF(Material[[#This Row],[TOTAL]],SUMIF(Material[FLAG],Material[[#This Row],[COUNT]]-1,Material[Length]),DATA[[#This Row],[Length]])</f>
        <v>7.1</v>
      </c>
      <c r="E3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3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3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3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3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3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3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3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3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3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3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39" s="155" t="str">
        <f>IF(Material[[#This Row],[TOTAL]],SUMIF(Material[FLAG],Material[[#This Row],[COUNT]]-1,Material[Bend15]),"")</f>
        <v/>
      </c>
      <c r="Q39" s="156" t="str">
        <f>IF(Material[[#This Row],[TOTAL]],SUMIF(Material[FLAG],Material[[#This Row],[COUNT]]-1,Material[Bend30]),"")</f>
        <v/>
      </c>
      <c r="R39" s="156" t="str">
        <f>IF(Material[[#This Row],[TOTAL]],SUMIF(Material[FLAG],Material[[#This Row],[COUNT]]-1,Material[Bend45]),"")</f>
        <v/>
      </c>
      <c r="S39" s="157" t="str">
        <f>IF(Material[[#This Row],[TOTAL]],SUMIF(Material[FLAG],Material[[#This Row],[COUNT]]-1,Material[Bend90]),"")</f>
        <v/>
      </c>
      <c r="T3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3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3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3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3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3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3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3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39" s="159" t="str">
        <f>DATA[[#This Row],[Product]]</f>
        <v>Plastic</v>
      </c>
      <c r="AC39" s="160">
        <f>DATA[[#This Row],[Fnd_Xd]]</f>
        <v>0</v>
      </c>
      <c r="AD39" s="161" t="b">
        <f>IF(ISNUMBER(SEARCH("jun",DATA[[#This Row],[From_Type]])),TRUE,FALSE)</f>
        <v>0</v>
      </c>
      <c r="AE39" s="162" t="str">
        <f>IF(Material[[#This Row],[JUNCTION]],CONCATENATE(Material[[#This Row],[From]],Material[[#This Row],[Dia]],DATA[[#This Row],[From_Type]]),"")</f>
        <v/>
      </c>
      <c r="AF39" s="163" t="b">
        <f>IF(OR(DATA[[#This Row],[TOTAL]],COUNTIF(Material[[#This Row],[From]:[Dia]],"*total*")&gt;0),TRUE,FALSE)</f>
        <v>0</v>
      </c>
      <c r="AG39" s="163">
        <f>IF(Material[[#This Row],[TOTAL]],"",Material[[#This Row],[COUNT]])</f>
        <v>1</v>
      </c>
      <c r="AH39" s="164">
        <f>IF(Material[[#This Row],[TOTAL]],$AH38+1,IF($AH38="COUNT",1,$AH38))</f>
        <v>1</v>
      </c>
    </row>
    <row r="40" spans="1:34" x14ac:dyDescent="0.2">
      <c r="A40" s="139" t="str">
        <f>DATA[[#This Row],[From_ID]]&amp;IF(COUNTA(DATA[[#This Row],[From_ID2]]),"/"&amp;DATA[[#This Row],[From_ID2]],)</f>
        <v>SWMH17</v>
      </c>
      <c r="B40" s="139" t="str">
        <f>DATA[[#This Row],[To_ID]]</f>
        <v>RWP14</v>
      </c>
      <c r="C40" s="141">
        <f>DATA[[#This Row],[Dia]]</f>
        <v>100</v>
      </c>
      <c r="D40" s="142">
        <f>IF(Material[[#This Row],[TOTAL]],SUMIF(Material[FLAG],Material[[#This Row],[COUNT]]-1,Material[Length]),DATA[[#This Row],[Length]])</f>
        <v>3.4</v>
      </c>
      <c r="E4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4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40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4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0" s="155" t="str">
        <f>IF(Material[[#This Row],[TOTAL]],SUMIF(Material[FLAG],Material[[#This Row],[COUNT]]-1,Material[Bend15]),"")</f>
        <v/>
      </c>
      <c r="Q40" s="156" t="str">
        <f>IF(Material[[#This Row],[TOTAL]],SUMIF(Material[FLAG],Material[[#This Row],[COUNT]]-1,Material[Bend30]),"")</f>
        <v/>
      </c>
      <c r="R40" s="156" t="str">
        <f>IF(Material[[#This Row],[TOTAL]],SUMIF(Material[FLAG],Material[[#This Row],[COUNT]]-1,Material[Bend45]),"")</f>
        <v/>
      </c>
      <c r="S40" s="157" t="str">
        <f>IF(Material[[#This Row],[TOTAL]],SUMIF(Material[FLAG],Material[[#This Row],[COUNT]]-1,Material[Bend90]),"")</f>
        <v/>
      </c>
      <c r="T4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0" s="159" t="str">
        <f>DATA[[#This Row],[Product]]</f>
        <v>Plastic</v>
      </c>
      <c r="AC40" s="160">
        <f>DATA[[#This Row],[Fnd_Xd]]</f>
        <v>0</v>
      </c>
      <c r="AD40" s="161" t="b">
        <f>IF(ISNUMBER(SEARCH("jun",DATA[[#This Row],[From_Type]])),TRUE,FALSE)</f>
        <v>0</v>
      </c>
      <c r="AE40" s="162" t="str">
        <f>IF(Material[[#This Row],[JUNCTION]],CONCATENATE(Material[[#This Row],[From]],Material[[#This Row],[Dia]],DATA[[#This Row],[From_Type]]),"")</f>
        <v/>
      </c>
      <c r="AF40" s="163" t="b">
        <f>IF(OR(DATA[[#This Row],[TOTAL]],COUNTIF(Material[[#This Row],[From]:[Dia]],"*total*")&gt;0),TRUE,FALSE)</f>
        <v>0</v>
      </c>
      <c r="AG40" s="163">
        <f>IF(Material[[#This Row],[TOTAL]],"",Material[[#This Row],[COUNT]])</f>
        <v>1</v>
      </c>
      <c r="AH40" s="164">
        <f>IF(Material[[#This Row],[TOTAL]],$AH39+1,IF($AH39="COUNT",1,$AH39))</f>
        <v>1</v>
      </c>
    </row>
    <row r="41" spans="1:34" x14ac:dyDescent="0.2">
      <c r="A41" s="139" t="str">
        <f>DATA[[#This Row],[From_ID]]&amp;IF(COUNTA(DATA[[#This Row],[From_ID2]]),"/"&amp;DATA[[#This Row],[From_ID2]],)</f>
        <v>SWMH17/RWP14</v>
      </c>
      <c r="B41" s="139" t="str">
        <f>DATA[[#This Row],[To_ID]]</f>
        <v>Aco</v>
      </c>
      <c r="C41" s="141">
        <f>DATA[[#This Row],[Dia]]</f>
        <v>100</v>
      </c>
      <c r="D41" s="142">
        <f>IF(Material[[#This Row],[TOTAL]],SUMIF(Material[FLAG],Material[[#This Row],[COUNT]]-1,Material[Length]),DATA[[#This Row],[Length]])</f>
        <v>1.1499999999999999</v>
      </c>
      <c r="E4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4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4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4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1" s="155" t="str">
        <f>IF(Material[[#This Row],[TOTAL]],SUMIF(Material[FLAG],Material[[#This Row],[COUNT]]-1,Material[Bend15]),"")</f>
        <v/>
      </c>
      <c r="Q41" s="156" t="str">
        <f>IF(Material[[#This Row],[TOTAL]],SUMIF(Material[FLAG],Material[[#This Row],[COUNT]]-1,Material[Bend30]),"")</f>
        <v/>
      </c>
      <c r="R41" s="156" t="str">
        <f>IF(Material[[#This Row],[TOTAL]],SUMIF(Material[FLAG],Material[[#This Row],[COUNT]]-1,Material[Bend45]),"")</f>
        <v/>
      </c>
      <c r="S41" s="157" t="str">
        <f>IF(Material[[#This Row],[TOTAL]],SUMIF(Material[FLAG],Material[[#This Row],[COUNT]]-1,Material[Bend90]),"")</f>
        <v/>
      </c>
      <c r="T4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4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1" s="159" t="str">
        <f>DATA[[#This Row],[Product]]</f>
        <v>Plastic</v>
      </c>
      <c r="AC41" s="160">
        <f>DATA[[#This Row],[Fnd_Xd]]</f>
        <v>0</v>
      </c>
      <c r="AD41" s="161" t="b">
        <f>IF(ISNUMBER(SEARCH("jun",DATA[[#This Row],[From_Type]])),TRUE,FALSE)</f>
        <v>1</v>
      </c>
      <c r="AE41" s="162" t="str">
        <f>IF(Material[[#This Row],[JUNCTION]],CONCATENATE(Material[[#This Row],[From]],Material[[#This Row],[Dia]],DATA[[#This Row],[From_Type]]),"")</f>
        <v>SWMH17/RWP14100JunOb</v>
      </c>
      <c r="AF41" s="163" t="b">
        <f>IF(OR(DATA[[#This Row],[TOTAL]],COUNTIF(Material[[#This Row],[From]:[Dia]],"*total*")&gt;0),TRUE,FALSE)</f>
        <v>0</v>
      </c>
      <c r="AG41" s="163">
        <f>IF(Material[[#This Row],[TOTAL]],"",Material[[#This Row],[COUNT]])</f>
        <v>1</v>
      </c>
      <c r="AH41" s="164">
        <f>IF(Material[[#This Row],[TOTAL]],$AH40+1,IF($AH40="COUNT",1,$AH40))</f>
        <v>1</v>
      </c>
    </row>
    <row r="42" spans="1:34" x14ac:dyDescent="0.2">
      <c r="A42" s="139" t="str">
        <f>DATA[[#This Row],[From_ID]]&amp;IF(COUNTA(DATA[[#This Row],[From_ID2]]),"/"&amp;DATA[[#This Row],[From_ID2]],)</f>
        <v>SWMH17</v>
      </c>
      <c r="B42" s="139" t="str">
        <f>DATA[[#This Row],[To_ID]]</f>
        <v>RWP15</v>
      </c>
      <c r="C42" s="141">
        <f>DATA[[#This Row],[Dia]]</f>
        <v>100</v>
      </c>
      <c r="D42" s="142">
        <f>IF(Material[[#This Row],[TOTAL]],SUMIF(Material[FLAG],Material[[#This Row],[COUNT]]-1,Material[Length]),DATA[[#This Row],[Length]])</f>
        <v>1.2</v>
      </c>
      <c r="E4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0.5</v>
      </c>
      <c r="F4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4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2" s="155" t="str">
        <f>IF(Material[[#This Row],[TOTAL]],SUMIF(Material[FLAG],Material[[#This Row],[COUNT]]-1,Material[Bend15]),"")</f>
        <v/>
      </c>
      <c r="Q42" s="156" t="str">
        <f>IF(Material[[#This Row],[TOTAL]],SUMIF(Material[FLAG],Material[[#This Row],[COUNT]]-1,Material[Bend30]),"")</f>
        <v/>
      </c>
      <c r="R42" s="156" t="str">
        <f>IF(Material[[#This Row],[TOTAL]],SUMIF(Material[FLAG],Material[[#This Row],[COUNT]]-1,Material[Bend45]),"")</f>
        <v/>
      </c>
      <c r="S42" s="157" t="str">
        <f>IF(Material[[#This Row],[TOTAL]],SUMIF(Material[FLAG],Material[[#This Row],[COUNT]]-1,Material[Bend90]),"")</f>
        <v/>
      </c>
      <c r="T4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2" s="159" t="str">
        <f>DATA[[#This Row],[Product]]</f>
        <v>Plastic</v>
      </c>
      <c r="AC42" s="160">
        <f>DATA[[#This Row],[Fnd_Xd]]</f>
        <v>0</v>
      </c>
      <c r="AD42" s="161" t="b">
        <f>IF(ISNUMBER(SEARCH("jun",DATA[[#This Row],[From_Type]])),TRUE,FALSE)</f>
        <v>0</v>
      </c>
      <c r="AE42" s="162" t="str">
        <f>IF(Material[[#This Row],[JUNCTION]],CONCATENATE(Material[[#This Row],[From]],Material[[#This Row],[Dia]],DATA[[#This Row],[From_Type]]),"")</f>
        <v/>
      </c>
      <c r="AF42" s="163" t="b">
        <f>IF(OR(DATA[[#This Row],[TOTAL]],COUNTIF(Material[[#This Row],[From]:[Dia]],"*total*")&gt;0),TRUE,FALSE)</f>
        <v>0</v>
      </c>
      <c r="AG42" s="163">
        <f>IF(Material[[#This Row],[TOTAL]],"",Material[[#This Row],[COUNT]])</f>
        <v>1</v>
      </c>
      <c r="AH42" s="164">
        <f>IF(Material[[#This Row],[TOTAL]],$AH41+1,IF($AH41="COUNT",1,$AH41))</f>
        <v>1</v>
      </c>
    </row>
    <row r="43" spans="1:34" x14ac:dyDescent="0.2">
      <c r="A43" s="139" t="str">
        <f>DATA[[#This Row],[From_ID]]&amp;IF(COUNTA(DATA[[#This Row],[From_ID2]]),"/"&amp;DATA[[#This Row],[From_ID2]],)</f>
        <v>SWMH17</v>
      </c>
      <c r="B43" s="139" t="str">
        <f>DATA[[#This Row],[To_ID]]</f>
        <v>RWP16</v>
      </c>
      <c r="C43" s="141">
        <f>DATA[[#This Row],[Dia]]</f>
        <v>100</v>
      </c>
      <c r="D43" s="142">
        <f>IF(Material[[#This Row],[TOTAL]],SUMIF(Material[FLAG],Material[[#This Row],[COUNT]]-1,Material[Length]),DATA[[#This Row],[Length]])</f>
        <v>10.95</v>
      </c>
      <c r="E4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4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4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3" s="155" t="str">
        <f>IF(Material[[#This Row],[TOTAL]],SUMIF(Material[FLAG],Material[[#This Row],[COUNT]]-1,Material[Bend15]),"")</f>
        <v/>
      </c>
      <c r="Q43" s="156" t="str">
        <f>IF(Material[[#This Row],[TOTAL]],SUMIF(Material[FLAG],Material[[#This Row],[COUNT]]-1,Material[Bend30]),"")</f>
        <v/>
      </c>
      <c r="R43" s="156" t="str">
        <f>IF(Material[[#This Row],[TOTAL]],SUMIF(Material[FLAG],Material[[#This Row],[COUNT]]-1,Material[Bend45]),"")</f>
        <v/>
      </c>
      <c r="S43" s="157" t="str">
        <f>IF(Material[[#This Row],[TOTAL]],SUMIF(Material[FLAG],Material[[#This Row],[COUNT]]-1,Material[Bend90]),"")</f>
        <v/>
      </c>
      <c r="T4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3" s="159" t="str">
        <f>DATA[[#This Row],[Product]]</f>
        <v>Plastic</v>
      </c>
      <c r="AC43" s="160">
        <f>DATA[[#This Row],[Fnd_Xd]]</f>
        <v>0</v>
      </c>
      <c r="AD43" s="161" t="b">
        <f>IF(ISNUMBER(SEARCH("jun",DATA[[#This Row],[From_Type]])),TRUE,FALSE)</f>
        <v>0</v>
      </c>
      <c r="AE43" s="162" t="str">
        <f>IF(Material[[#This Row],[JUNCTION]],CONCATENATE(Material[[#This Row],[From]],Material[[#This Row],[Dia]],DATA[[#This Row],[From_Type]]),"")</f>
        <v/>
      </c>
      <c r="AF43" s="163" t="b">
        <f>IF(OR(DATA[[#This Row],[TOTAL]],COUNTIF(Material[[#This Row],[From]:[Dia]],"*total*")&gt;0),TRUE,FALSE)</f>
        <v>0</v>
      </c>
      <c r="AG43" s="163">
        <f>IF(Material[[#This Row],[TOTAL]],"",Material[[#This Row],[COUNT]])</f>
        <v>1</v>
      </c>
      <c r="AH43" s="164">
        <f>IF(Material[[#This Row],[TOTAL]],$AH42+1,IF($AH42="COUNT",1,$AH42))</f>
        <v>1</v>
      </c>
    </row>
    <row r="44" spans="1:34" x14ac:dyDescent="0.2">
      <c r="A44" s="139" t="str">
        <f>DATA[[#This Row],[From_ID]]&amp;IF(COUNTA(DATA[[#This Row],[From_ID2]]),"/"&amp;DATA[[#This Row],[From_ID2]],)</f>
        <v>SWMH09</v>
      </c>
      <c r="B44" s="139" t="str">
        <f>DATA[[#This Row],[To_ID]]</f>
        <v>SWMH15</v>
      </c>
      <c r="C44" s="141">
        <f>DATA[[#This Row],[Dia]]</f>
        <v>100</v>
      </c>
      <c r="D44" s="142">
        <f>IF(Material[[#This Row],[TOTAL]],SUMIF(Material[FLAG],Material[[#This Row],[COUNT]]-1,Material[Length]),DATA[[#This Row],[Length]])</f>
        <v>7.1</v>
      </c>
      <c r="E4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4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4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5</v>
      </c>
      <c r="H4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4" s="155" t="str">
        <f>IF(Material[[#This Row],[TOTAL]],SUMIF(Material[FLAG],Material[[#This Row],[COUNT]]-1,Material[Bend15]),"")</f>
        <v/>
      </c>
      <c r="Q44" s="156" t="str">
        <f>IF(Material[[#This Row],[TOTAL]],SUMIF(Material[FLAG],Material[[#This Row],[COUNT]]-1,Material[Bend30]),"")</f>
        <v/>
      </c>
      <c r="R44" s="156" t="str">
        <f>IF(Material[[#This Row],[TOTAL]],SUMIF(Material[FLAG],Material[[#This Row],[COUNT]]-1,Material[Bend45]),"")</f>
        <v/>
      </c>
      <c r="S44" s="157" t="str">
        <f>IF(Material[[#This Row],[TOTAL]],SUMIF(Material[FLAG],Material[[#This Row],[COUNT]]-1,Material[Bend90]),"")</f>
        <v/>
      </c>
      <c r="T4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4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4" s="159" t="str">
        <f>DATA[[#This Row],[Product]]</f>
        <v>Plastic</v>
      </c>
      <c r="AC44" s="160">
        <f>DATA[[#This Row],[Fnd_Xd]]</f>
        <v>0</v>
      </c>
      <c r="AD44" s="161" t="b">
        <f>IF(ISNUMBER(SEARCH("jun",DATA[[#This Row],[From_Type]])),TRUE,FALSE)</f>
        <v>0</v>
      </c>
      <c r="AE44" s="162" t="str">
        <f>IF(Material[[#This Row],[JUNCTION]],CONCATENATE(Material[[#This Row],[From]],Material[[#This Row],[Dia]],DATA[[#This Row],[From_Type]]),"")</f>
        <v/>
      </c>
      <c r="AF44" s="163" t="b">
        <f>IF(OR(DATA[[#This Row],[TOTAL]],COUNTIF(Material[[#This Row],[From]:[Dia]],"*total*")&gt;0),TRUE,FALSE)</f>
        <v>0</v>
      </c>
      <c r="AG44" s="163">
        <f>IF(Material[[#This Row],[TOTAL]],"",Material[[#This Row],[COUNT]])</f>
        <v>1</v>
      </c>
      <c r="AH44" s="164">
        <f>IF(Material[[#This Row],[TOTAL]],$AH43+1,IF($AH43="COUNT",1,$AH43))</f>
        <v>1</v>
      </c>
    </row>
    <row r="45" spans="1:34" x14ac:dyDescent="0.2">
      <c r="A45" s="139" t="str">
        <f>DATA[[#This Row],[From_ID]]&amp;IF(COUNTA(DATA[[#This Row],[From_ID2]]),"/"&amp;DATA[[#This Row],[From_ID2]],)</f>
        <v>SWMH15</v>
      </c>
      <c r="B45" s="139" t="str">
        <f>DATA[[#This Row],[To_ID]]</f>
        <v>RWP17</v>
      </c>
      <c r="C45" s="141">
        <f>DATA[[#This Row],[Dia]]</f>
        <v>100</v>
      </c>
      <c r="D45" s="142">
        <f>IF(Material[[#This Row],[TOTAL]],SUMIF(Material[FLAG],Material[[#This Row],[COUNT]]-1,Material[Length]),DATA[[#This Row],[Length]])</f>
        <v>6.15</v>
      </c>
      <c r="E4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4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45" s="152">
        <f>IF(Material[[#This Row],[TOTAL]],SUMIF(Material[FLAG],Material[[#This Row],[COUNT]]-1,Material[ObJun4]),COUNTIF(Material[JUN_ID],CONCATENATE(Material[[#This Row],[From]],"/",Material[[#This Row],[To]],H$4,"JunOb")))</f>
        <v>1</v>
      </c>
      <c r="I4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5" s="155" t="str">
        <f>IF(Material[[#This Row],[TOTAL]],SUMIF(Material[FLAG],Material[[#This Row],[COUNT]]-1,Material[Bend15]),"")</f>
        <v/>
      </c>
      <c r="Q45" s="156" t="str">
        <f>IF(Material[[#This Row],[TOTAL]],SUMIF(Material[FLAG],Material[[#This Row],[COUNT]]-1,Material[Bend30]),"")</f>
        <v/>
      </c>
      <c r="R45" s="156" t="str">
        <f>IF(Material[[#This Row],[TOTAL]],SUMIF(Material[FLAG],Material[[#This Row],[COUNT]]-1,Material[Bend45]),"")</f>
        <v/>
      </c>
      <c r="S45" s="157" t="str">
        <f>IF(Material[[#This Row],[TOTAL]],SUMIF(Material[FLAG],Material[[#This Row],[COUNT]]-1,Material[Bend90]),"")</f>
        <v/>
      </c>
      <c r="T4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5" s="159" t="str">
        <f>DATA[[#This Row],[Product]]</f>
        <v>Plastic</v>
      </c>
      <c r="AC45" s="160">
        <f>DATA[[#This Row],[Fnd_Xd]]</f>
        <v>0</v>
      </c>
      <c r="AD45" s="161" t="b">
        <f>IF(ISNUMBER(SEARCH("jun",DATA[[#This Row],[From_Type]])),TRUE,FALSE)</f>
        <v>0</v>
      </c>
      <c r="AE45" s="162" t="str">
        <f>IF(Material[[#This Row],[JUNCTION]],CONCATENATE(Material[[#This Row],[From]],Material[[#This Row],[Dia]],DATA[[#This Row],[From_Type]]),"")</f>
        <v/>
      </c>
      <c r="AF45" s="163" t="b">
        <f>IF(OR(DATA[[#This Row],[TOTAL]],COUNTIF(Material[[#This Row],[From]:[Dia]],"*total*")&gt;0),TRUE,FALSE)</f>
        <v>0</v>
      </c>
      <c r="AG45" s="163">
        <f>IF(Material[[#This Row],[TOTAL]],"",Material[[#This Row],[COUNT]])</f>
        <v>1</v>
      </c>
      <c r="AH45" s="164">
        <f>IF(Material[[#This Row],[TOTAL]],$AH44+1,IF($AH44="COUNT",1,$AH44))</f>
        <v>1</v>
      </c>
    </row>
    <row r="46" spans="1:34" x14ac:dyDescent="0.2">
      <c r="A46" s="139" t="str">
        <f>DATA[[#This Row],[From_ID]]&amp;IF(COUNTA(DATA[[#This Row],[From_ID2]]),"/"&amp;DATA[[#This Row],[From_ID2]],)</f>
        <v>SWMH15/RWP17</v>
      </c>
      <c r="B46" s="139" t="str">
        <f>DATA[[#This Row],[To_ID]]</f>
        <v>Aco</v>
      </c>
      <c r="C46" s="141">
        <f>DATA[[#This Row],[Dia]]</f>
        <v>100</v>
      </c>
      <c r="D46" s="142">
        <f>IF(Material[[#This Row],[TOTAL]],SUMIF(Material[FLAG],Material[[#This Row],[COUNT]]-1,Material[Length]),DATA[[#This Row],[Length]])</f>
        <v>1.65</v>
      </c>
      <c r="E4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4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4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0</v>
      </c>
      <c r="H4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6" s="155" t="str">
        <f>IF(Material[[#This Row],[TOTAL]],SUMIF(Material[FLAG],Material[[#This Row],[COUNT]]-1,Material[Bend15]),"")</f>
        <v/>
      </c>
      <c r="Q46" s="156" t="str">
        <f>IF(Material[[#This Row],[TOTAL]],SUMIF(Material[FLAG],Material[[#This Row],[COUNT]]-1,Material[Bend30]),"")</f>
        <v/>
      </c>
      <c r="R46" s="156" t="str">
        <f>IF(Material[[#This Row],[TOTAL]],SUMIF(Material[FLAG],Material[[#This Row],[COUNT]]-1,Material[Bend45]),"")</f>
        <v/>
      </c>
      <c r="S46" s="157" t="str">
        <f>IF(Material[[#This Row],[TOTAL]],SUMIF(Material[FLAG],Material[[#This Row],[COUNT]]-1,Material[Bend90]),"")</f>
        <v/>
      </c>
      <c r="T4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4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6" s="159" t="str">
        <f>DATA[[#This Row],[Product]]</f>
        <v>Plastic</v>
      </c>
      <c r="AC46" s="160">
        <f>DATA[[#This Row],[Fnd_Xd]]</f>
        <v>0</v>
      </c>
      <c r="AD46" s="161" t="b">
        <f>IF(ISNUMBER(SEARCH("jun",DATA[[#This Row],[From_Type]])),TRUE,FALSE)</f>
        <v>1</v>
      </c>
      <c r="AE46" s="162" t="str">
        <f>IF(Material[[#This Row],[JUNCTION]],CONCATENATE(Material[[#This Row],[From]],Material[[#This Row],[Dia]],DATA[[#This Row],[From_Type]]),"")</f>
        <v>SWMH15/RWP17100JunOb</v>
      </c>
      <c r="AF46" s="163" t="b">
        <f>IF(OR(DATA[[#This Row],[TOTAL]],COUNTIF(Material[[#This Row],[From]:[Dia]],"*total*")&gt;0),TRUE,FALSE)</f>
        <v>0</v>
      </c>
      <c r="AG46" s="163">
        <f>IF(Material[[#This Row],[TOTAL]],"",Material[[#This Row],[COUNT]])</f>
        <v>1</v>
      </c>
      <c r="AH46" s="164">
        <f>IF(Material[[#This Row],[TOTAL]],$AH45+1,IF($AH45="COUNT",1,$AH45))</f>
        <v>1</v>
      </c>
    </row>
    <row r="47" spans="1:34" x14ac:dyDescent="0.2">
      <c r="A47" s="139" t="str">
        <f>DATA[[#This Row],[From_ID]]&amp;IF(COUNTA(DATA[[#This Row],[From_ID2]]),"/"&amp;DATA[[#This Row],[From_ID2]],)</f>
        <v>SWMH15</v>
      </c>
      <c r="B47" s="139" t="str">
        <f>DATA[[#This Row],[To_ID]]</f>
        <v>RWP18</v>
      </c>
      <c r="C47" s="141">
        <f>DATA[[#This Row],[Dia]]</f>
        <v>100</v>
      </c>
      <c r="D47" s="142">
        <f>IF(Material[[#This Row],[TOTAL]],SUMIF(Material[FLAG],Material[[#This Row],[COUNT]]-1,Material[Length]),DATA[[#This Row],[Length]])</f>
        <v>2.4</v>
      </c>
      <c r="E4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4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4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7" s="155" t="str">
        <f>IF(Material[[#This Row],[TOTAL]],SUMIF(Material[FLAG],Material[[#This Row],[COUNT]]-1,Material[Bend15]),"")</f>
        <v/>
      </c>
      <c r="Q47" s="156" t="str">
        <f>IF(Material[[#This Row],[TOTAL]],SUMIF(Material[FLAG],Material[[#This Row],[COUNT]]-1,Material[Bend30]),"")</f>
        <v/>
      </c>
      <c r="R47" s="156" t="str">
        <f>IF(Material[[#This Row],[TOTAL]],SUMIF(Material[FLAG],Material[[#This Row],[COUNT]]-1,Material[Bend45]),"")</f>
        <v/>
      </c>
      <c r="S47" s="157" t="str">
        <f>IF(Material[[#This Row],[TOTAL]],SUMIF(Material[FLAG],Material[[#This Row],[COUNT]]-1,Material[Bend90]),"")</f>
        <v/>
      </c>
      <c r="T4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7" s="159" t="str">
        <f>DATA[[#This Row],[Product]]</f>
        <v>Plastic</v>
      </c>
      <c r="AC47" s="160">
        <f>DATA[[#This Row],[Fnd_Xd]]</f>
        <v>0</v>
      </c>
      <c r="AD47" s="161" t="b">
        <f>IF(ISNUMBER(SEARCH("jun",DATA[[#This Row],[From_Type]])),TRUE,FALSE)</f>
        <v>0</v>
      </c>
      <c r="AE47" s="162" t="str">
        <f>IF(Material[[#This Row],[JUNCTION]],CONCATENATE(Material[[#This Row],[From]],Material[[#This Row],[Dia]],DATA[[#This Row],[From_Type]]),"")</f>
        <v/>
      </c>
      <c r="AF47" s="163" t="b">
        <f>IF(OR(DATA[[#This Row],[TOTAL]],COUNTIF(Material[[#This Row],[From]:[Dia]],"*total*")&gt;0),TRUE,FALSE)</f>
        <v>0</v>
      </c>
      <c r="AG47" s="163">
        <f>IF(Material[[#This Row],[TOTAL]],"",Material[[#This Row],[COUNT]])</f>
        <v>1</v>
      </c>
      <c r="AH47" s="164">
        <f>IF(Material[[#This Row],[TOTAL]],$AH46+1,IF($AH46="COUNT",1,$AH46))</f>
        <v>1</v>
      </c>
    </row>
    <row r="48" spans="1:34" x14ac:dyDescent="0.2">
      <c r="A48" s="139" t="str">
        <f>DATA[[#This Row],[From_ID]]&amp;IF(COUNTA(DATA[[#This Row],[From_ID2]]),"/"&amp;DATA[[#This Row],[From_ID2]],)</f>
        <v>SWMH15</v>
      </c>
      <c r="B48" s="139" t="str">
        <f>DATA[[#This Row],[To_ID]]</f>
        <v>RWP19</v>
      </c>
      <c r="C48" s="141">
        <f>DATA[[#This Row],[Dia]]</f>
        <v>100</v>
      </c>
      <c r="D48" s="142">
        <f>IF(Material[[#This Row],[TOTAL]],SUMIF(Material[FLAG],Material[[#This Row],[COUNT]]-1,Material[Length]),DATA[[#This Row],[Length]])</f>
        <v>11.35</v>
      </c>
      <c r="E4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4</v>
      </c>
      <c r="F4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4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4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4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8" s="155" t="str">
        <f>IF(Material[[#This Row],[TOTAL]],SUMIF(Material[FLAG],Material[[#This Row],[COUNT]]-1,Material[Bend15]),"")</f>
        <v/>
      </c>
      <c r="Q48" s="156" t="str">
        <f>IF(Material[[#This Row],[TOTAL]],SUMIF(Material[FLAG],Material[[#This Row],[COUNT]]-1,Material[Bend30]),"")</f>
        <v/>
      </c>
      <c r="R48" s="156" t="str">
        <f>IF(Material[[#This Row],[TOTAL]],SUMIF(Material[FLAG],Material[[#This Row],[COUNT]]-1,Material[Bend45]),"")</f>
        <v/>
      </c>
      <c r="S48" s="157" t="str">
        <f>IF(Material[[#This Row],[TOTAL]],SUMIF(Material[FLAG],Material[[#This Row],[COUNT]]-1,Material[Bend90]),"")</f>
        <v/>
      </c>
      <c r="T4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4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8" s="159" t="str">
        <f>DATA[[#This Row],[Product]]</f>
        <v>Plastic</v>
      </c>
      <c r="AC48" s="160">
        <f>DATA[[#This Row],[Fnd_Xd]]</f>
        <v>0</v>
      </c>
      <c r="AD48" s="161" t="b">
        <f>IF(ISNUMBER(SEARCH("jun",DATA[[#This Row],[From_Type]])),TRUE,FALSE)</f>
        <v>0</v>
      </c>
      <c r="AE48" s="162" t="str">
        <f>IF(Material[[#This Row],[JUNCTION]],CONCATENATE(Material[[#This Row],[From]],Material[[#This Row],[Dia]],DATA[[#This Row],[From_Type]]),"")</f>
        <v/>
      </c>
      <c r="AF48" s="163" t="b">
        <f>IF(OR(DATA[[#This Row],[TOTAL]],COUNTIF(Material[[#This Row],[From]:[Dia]],"*total*")&gt;0),TRUE,FALSE)</f>
        <v>0</v>
      </c>
      <c r="AG48" s="163">
        <f>IF(Material[[#This Row],[TOTAL]],"",Material[[#This Row],[COUNT]])</f>
        <v>1</v>
      </c>
      <c r="AH48" s="164">
        <f>IF(Material[[#This Row],[TOTAL]],$AH47+1,IF($AH47="COUNT",1,$AH47))</f>
        <v>1</v>
      </c>
    </row>
    <row r="49" spans="1:34" x14ac:dyDescent="0.2">
      <c r="A49" s="139" t="str">
        <f>DATA[[#This Row],[From_ID]]&amp;IF(COUNTA(DATA[[#This Row],[From_ID2]]),"/"&amp;DATA[[#This Row],[From_ID2]],)</f>
        <v>TOTAL</v>
      </c>
      <c r="B49" s="139">
        <f>DATA[[#This Row],[To_ID]]</f>
        <v>0</v>
      </c>
      <c r="C49" s="141">
        <f>DATA[[#This Row],[Dia]]</f>
        <v>100</v>
      </c>
      <c r="D49" s="142">
        <f>IF(Material[[#This Row],[TOTAL]],SUMIF(Material[FLAG],Material[[#This Row],[COUNT]]-1,Material[Length]),DATA[[#This Row],[Length]])</f>
        <v>268.95</v>
      </c>
      <c r="E4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98</v>
      </c>
      <c r="F4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94</v>
      </c>
      <c r="G4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124</v>
      </c>
      <c r="H49" s="152">
        <f>IF(Material[[#This Row],[TOTAL]],SUMIF(Material[FLAG],Material[[#This Row],[COUNT]]-1,Material[ObJun4]),COUNTIF(Material[JUN_ID],CONCATENATE(Material[[#This Row],[From]],"/",Material[[#This Row],[To]],H$4,"JunOb")))</f>
        <v>8</v>
      </c>
      <c r="I4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4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4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4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4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4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4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49" s="155">
        <f>IF(Material[[#This Row],[TOTAL]],SUMIF(Material[FLAG],Material[[#This Row],[COUNT]]-1,Material[Bend15]),"")</f>
        <v>0</v>
      </c>
      <c r="Q49" s="156">
        <f>IF(Material[[#This Row],[TOTAL]],SUMIF(Material[FLAG],Material[[#This Row],[COUNT]]-1,Material[Bend30]),"")</f>
        <v>0</v>
      </c>
      <c r="R49" s="156">
        <f>IF(Material[[#This Row],[TOTAL]],SUMIF(Material[FLAG],Material[[#This Row],[COUNT]]-1,Material[Bend45]),"")</f>
        <v>0</v>
      </c>
      <c r="S49" s="157">
        <f>IF(Material[[#This Row],[TOTAL]],SUMIF(Material[FLAG],Material[[#This Row],[COUNT]]-1,Material[Bend90]),"")</f>
        <v>0</v>
      </c>
      <c r="T4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19</v>
      </c>
      <c r="U4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4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4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4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4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4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4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49" s="159" t="str">
        <f>DATA[[#This Row],[Product]]</f>
        <v>Plastic</v>
      </c>
      <c r="AC49" s="160">
        <f>DATA[[#This Row],[Fnd_Xd]]</f>
        <v>0</v>
      </c>
      <c r="AD49" s="161" t="b">
        <f>IF(ISNUMBER(SEARCH("jun",DATA[[#This Row],[From_Type]])),TRUE,FALSE)</f>
        <v>0</v>
      </c>
      <c r="AE49" s="162" t="str">
        <f>IF(Material[[#This Row],[JUNCTION]],CONCATENATE(Material[[#This Row],[From]],Material[[#This Row],[Dia]],DATA[[#This Row],[From_Type]]),"")</f>
        <v/>
      </c>
      <c r="AF49" s="163" t="b">
        <f>IF(OR(DATA[[#This Row],[TOTAL]],COUNTIF(Material[[#This Row],[From]:[Dia]],"*total*")&gt;0),TRUE,FALSE)</f>
        <v>1</v>
      </c>
      <c r="AG49" s="163" t="str">
        <f>IF(Material[[#This Row],[TOTAL]],"",Material[[#This Row],[COUNT]])</f>
        <v/>
      </c>
      <c r="AH49" s="164">
        <f>IF(Material[[#This Row],[TOTAL]],$AH48+1,IF($AH48="COUNT",1,$AH48))</f>
        <v>2</v>
      </c>
    </row>
    <row r="50" spans="1:34" x14ac:dyDescent="0.2">
      <c r="A50" s="139" t="str">
        <f>DATA[[#This Row],[From_ID]]&amp;IF(COUNTA(DATA[[#This Row],[From_ID2]]),"/"&amp;DATA[[#This Row],[From_ID2]],)</f>
        <v/>
      </c>
      <c r="B50" s="139">
        <f>DATA[[#This Row],[To_ID]]</f>
        <v>0</v>
      </c>
      <c r="C50" s="141">
        <f>DATA[[#This Row],[Dia]]</f>
        <v>0</v>
      </c>
      <c r="D50" s="142">
        <f>IF(Material[[#This Row],[TOTAL]],SUMIF(Material[FLAG],Material[[#This Row],[COUNT]]-1,Material[Length]),DATA[[#This Row],[Length]])</f>
        <v>0</v>
      </c>
      <c r="E50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5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0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5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0" s="155" t="str">
        <f>IF(Material[[#This Row],[TOTAL]],SUMIF(Material[FLAG],Material[[#This Row],[COUNT]]-1,Material[Bend15]),"")</f>
        <v/>
      </c>
      <c r="Q50" s="156" t="str">
        <f>IF(Material[[#This Row],[TOTAL]],SUMIF(Material[FLAG],Material[[#This Row],[COUNT]]-1,Material[Bend30]),"")</f>
        <v/>
      </c>
      <c r="R50" s="156" t="str">
        <f>IF(Material[[#This Row],[TOTAL]],SUMIF(Material[FLAG],Material[[#This Row],[COUNT]]-1,Material[Bend45]),"")</f>
        <v/>
      </c>
      <c r="S50" s="157" t="str">
        <f>IF(Material[[#This Row],[TOTAL]],SUMIF(Material[FLAG],Material[[#This Row],[COUNT]]-1,Material[Bend90]),"")</f>
        <v/>
      </c>
      <c r="T5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5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0" s="159" t="str">
        <f>DATA[[#This Row],[Product]]</f>
        <v>Plastic</v>
      </c>
      <c r="AC50" s="160">
        <f>DATA[[#This Row],[Fnd_Xd]]</f>
        <v>0</v>
      </c>
      <c r="AD50" s="161" t="b">
        <f>IF(ISNUMBER(SEARCH("jun",DATA[[#This Row],[From_Type]])),TRUE,FALSE)</f>
        <v>0</v>
      </c>
      <c r="AE50" s="162" t="str">
        <f>IF(Material[[#This Row],[JUNCTION]],CONCATENATE(Material[[#This Row],[From]],Material[[#This Row],[Dia]],DATA[[#This Row],[From_Type]]),"")</f>
        <v/>
      </c>
      <c r="AF50" s="163" t="b">
        <f>IF(OR(DATA[[#This Row],[TOTAL]],COUNTIF(Material[[#This Row],[From]:[Dia]],"*total*")&gt;0),TRUE,FALSE)</f>
        <v>0</v>
      </c>
      <c r="AG50" s="163">
        <f>IF(Material[[#This Row],[TOTAL]],"",Material[[#This Row],[COUNT]])</f>
        <v>2</v>
      </c>
      <c r="AH50" s="164">
        <f>IF(Material[[#This Row],[TOTAL]],$AH49+1,IF($AH49="COUNT",1,$AH49))</f>
        <v>2</v>
      </c>
    </row>
    <row r="51" spans="1:34" x14ac:dyDescent="0.2">
      <c r="A51" s="139" t="str">
        <f>DATA[[#This Row],[From_ID]]&amp;IF(COUNTA(DATA[[#This Row],[From_ID2]]),"/"&amp;DATA[[#This Row],[From_ID2]],)</f>
        <v>Road Gullies</v>
      </c>
      <c r="B51" s="139">
        <f>DATA[[#This Row],[To_ID]]</f>
        <v>0</v>
      </c>
      <c r="C51" s="141">
        <f>DATA[[#This Row],[Dia]]</f>
        <v>0</v>
      </c>
      <c r="D51" s="142">
        <f>IF(Material[[#This Row],[TOTAL]],SUMIF(Material[FLAG],Material[[#This Row],[COUNT]]-1,Material[Length]),DATA[[#This Row],[Length]])</f>
        <v>0</v>
      </c>
      <c r="E51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5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1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5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1" s="155" t="str">
        <f>IF(Material[[#This Row],[TOTAL]],SUMIF(Material[FLAG],Material[[#This Row],[COUNT]]-1,Material[Bend15]),"")</f>
        <v/>
      </c>
      <c r="Q51" s="156" t="str">
        <f>IF(Material[[#This Row],[TOTAL]],SUMIF(Material[FLAG],Material[[#This Row],[COUNT]]-1,Material[Bend30]),"")</f>
        <v/>
      </c>
      <c r="R51" s="156" t="str">
        <f>IF(Material[[#This Row],[TOTAL]],SUMIF(Material[FLAG],Material[[#This Row],[COUNT]]-1,Material[Bend45]),"")</f>
        <v/>
      </c>
      <c r="S51" s="157" t="str">
        <f>IF(Material[[#This Row],[TOTAL]],SUMIF(Material[FLAG],Material[[#This Row],[COUNT]]-1,Material[Bend90]),"")</f>
        <v/>
      </c>
      <c r="T5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5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1" s="159" t="str">
        <f>DATA[[#This Row],[Product]]</f>
        <v>Plastic</v>
      </c>
      <c r="AC51" s="160">
        <f>DATA[[#This Row],[Fnd_Xd]]</f>
        <v>0</v>
      </c>
      <c r="AD51" s="161" t="b">
        <f>IF(ISNUMBER(SEARCH("jun",DATA[[#This Row],[From_Type]])),TRUE,FALSE)</f>
        <v>0</v>
      </c>
      <c r="AE51" s="162" t="str">
        <f>IF(Material[[#This Row],[JUNCTION]],CONCATENATE(Material[[#This Row],[From]],Material[[#This Row],[Dia]],DATA[[#This Row],[From_Type]]),"")</f>
        <v/>
      </c>
      <c r="AF51" s="163" t="b">
        <f>IF(OR(DATA[[#This Row],[TOTAL]],COUNTIF(Material[[#This Row],[From]:[Dia]],"*total*")&gt;0),TRUE,FALSE)</f>
        <v>0</v>
      </c>
      <c r="AG51" s="163">
        <f>IF(Material[[#This Row],[TOTAL]],"",Material[[#This Row],[COUNT]])</f>
        <v>2</v>
      </c>
      <c r="AH51" s="164">
        <f>IF(Material[[#This Row],[TOTAL]],$AH50+1,IF($AH50="COUNT",1,$AH50))</f>
        <v>2</v>
      </c>
    </row>
    <row r="52" spans="1:34" x14ac:dyDescent="0.2">
      <c r="A52" s="139" t="str">
        <f>DATA[[#This Row],[From_ID]]&amp;IF(COUNTA(DATA[[#This Row],[From_ID2]]),"/"&amp;DATA[[#This Row],[From_ID2]],)</f>
        <v>SWMH04</v>
      </c>
      <c r="B52" s="139" t="str">
        <f>DATA[[#This Row],[To_ID]]</f>
        <v>G1</v>
      </c>
      <c r="C52" s="141">
        <f>DATA[[#This Row],[Dia]]</f>
        <v>100</v>
      </c>
      <c r="D52" s="142">
        <f>IF(Material[[#This Row],[TOTAL]],SUMIF(Material[FLAG],Material[[#This Row],[COUNT]]-1,Material[Length]),DATA[[#This Row],[Length]])</f>
        <v>9</v>
      </c>
      <c r="E5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5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5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2" s="155" t="str">
        <f>IF(Material[[#This Row],[TOTAL]],SUMIF(Material[FLAG],Material[[#This Row],[COUNT]]-1,Material[Bend15]),"")</f>
        <v/>
      </c>
      <c r="Q52" s="156" t="str">
        <f>IF(Material[[#This Row],[TOTAL]],SUMIF(Material[FLAG],Material[[#This Row],[COUNT]]-1,Material[Bend30]),"")</f>
        <v/>
      </c>
      <c r="R52" s="156" t="str">
        <f>IF(Material[[#This Row],[TOTAL]],SUMIF(Material[FLAG],Material[[#This Row],[COUNT]]-1,Material[Bend45]),"")</f>
        <v/>
      </c>
      <c r="S52" s="157" t="str">
        <f>IF(Material[[#This Row],[TOTAL]],SUMIF(Material[FLAG],Material[[#This Row],[COUNT]]-1,Material[Bend90]),"")</f>
        <v/>
      </c>
      <c r="T5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2" s="159" t="str">
        <f>DATA[[#This Row],[Product]]</f>
        <v>Plastic</v>
      </c>
      <c r="AC52" s="160">
        <f>DATA[[#This Row],[Fnd_Xd]]</f>
        <v>0</v>
      </c>
      <c r="AD52" s="161" t="b">
        <f>IF(ISNUMBER(SEARCH("jun",DATA[[#This Row],[From_Type]])),TRUE,FALSE)</f>
        <v>0</v>
      </c>
      <c r="AE52" s="162" t="str">
        <f>IF(Material[[#This Row],[JUNCTION]],CONCATENATE(Material[[#This Row],[From]],Material[[#This Row],[Dia]],DATA[[#This Row],[From_Type]]),"")</f>
        <v/>
      </c>
      <c r="AF52" s="163" t="b">
        <f>IF(OR(DATA[[#This Row],[TOTAL]],COUNTIF(Material[[#This Row],[From]:[Dia]],"*total*")&gt;0),TRUE,FALSE)</f>
        <v>0</v>
      </c>
      <c r="AG52" s="163">
        <f>IF(Material[[#This Row],[TOTAL]],"",Material[[#This Row],[COUNT]])</f>
        <v>2</v>
      </c>
      <c r="AH52" s="164">
        <f>IF(Material[[#This Row],[TOTAL]],$AH51+1,IF($AH51="COUNT",1,$AH51))</f>
        <v>2</v>
      </c>
    </row>
    <row r="53" spans="1:34" x14ac:dyDescent="0.2">
      <c r="A53" s="139" t="str">
        <f>DATA[[#This Row],[From_ID]]&amp;IF(COUNTA(DATA[[#This Row],[From_ID2]]),"/"&amp;DATA[[#This Row],[From_ID2]],)</f>
        <v>SWMH03/SWMH04</v>
      </c>
      <c r="B53" s="139" t="str">
        <f>DATA[[#This Row],[To_ID]]</f>
        <v>G2</v>
      </c>
      <c r="C53" s="141">
        <f>DATA[[#This Row],[Dia]]</f>
        <v>100</v>
      </c>
      <c r="D53" s="142">
        <f>IF(Material[[#This Row],[TOTAL]],SUMIF(Material[FLAG],Material[[#This Row],[COUNT]]-1,Material[Length]),DATA[[#This Row],[Length]])</f>
        <v>4</v>
      </c>
      <c r="E5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5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1</v>
      </c>
      <c r="H5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3" s="155" t="str">
        <f>IF(Material[[#This Row],[TOTAL]],SUMIF(Material[FLAG],Material[[#This Row],[COUNT]]-1,Material[Bend15]),"")</f>
        <v/>
      </c>
      <c r="Q53" s="156" t="str">
        <f>IF(Material[[#This Row],[TOTAL]],SUMIF(Material[FLAG],Material[[#This Row],[COUNT]]-1,Material[Bend30]),"")</f>
        <v/>
      </c>
      <c r="R53" s="156" t="str">
        <f>IF(Material[[#This Row],[TOTAL]],SUMIF(Material[FLAG],Material[[#This Row],[COUNT]]-1,Material[Bend45]),"")</f>
        <v/>
      </c>
      <c r="S53" s="157" t="str">
        <f>IF(Material[[#This Row],[TOTAL]],SUMIF(Material[FLAG],Material[[#This Row],[COUNT]]-1,Material[Bend90]),"")</f>
        <v/>
      </c>
      <c r="T5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3" s="159" t="str">
        <f>DATA[[#This Row],[Product]]</f>
        <v>Plastic</v>
      </c>
      <c r="AC53" s="160">
        <f>DATA[[#This Row],[Fnd_Xd]]</f>
        <v>0</v>
      </c>
      <c r="AD53" s="161" t="b">
        <f>IF(ISNUMBER(SEARCH("jun",DATA[[#This Row],[From_Type]])),TRUE,FALSE)</f>
        <v>1</v>
      </c>
      <c r="AE53" s="162" t="str">
        <f>IF(Material[[#This Row],[JUNCTION]],CONCATENATE(Material[[#This Row],[From]],Material[[#This Row],[Dia]],DATA[[#This Row],[From_Type]]),"")</f>
        <v>SWMH03/SWMH04100JunOb</v>
      </c>
      <c r="AF53" s="163" t="b">
        <f>IF(OR(DATA[[#This Row],[TOTAL]],COUNTIF(Material[[#This Row],[From]:[Dia]],"*total*")&gt;0),TRUE,FALSE)</f>
        <v>0</v>
      </c>
      <c r="AG53" s="163">
        <f>IF(Material[[#This Row],[TOTAL]],"",Material[[#This Row],[COUNT]])</f>
        <v>2</v>
      </c>
      <c r="AH53" s="164">
        <f>IF(Material[[#This Row],[TOTAL]],$AH52+1,IF($AH52="COUNT",1,$AH52))</f>
        <v>2</v>
      </c>
    </row>
    <row r="54" spans="1:34" x14ac:dyDescent="0.2">
      <c r="A54" s="139" t="str">
        <f>DATA[[#This Row],[From_ID]]&amp;IF(COUNTA(DATA[[#This Row],[From_ID2]]),"/"&amp;DATA[[#This Row],[From_ID2]],)</f>
        <v>SWMH03</v>
      </c>
      <c r="B54" s="139" t="str">
        <f>DATA[[#This Row],[To_ID]]</f>
        <v>G3</v>
      </c>
      <c r="C54" s="141">
        <f>DATA[[#This Row],[Dia]]</f>
        <v>100</v>
      </c>
      <c r="D54" s="142">
        <f>IF(Material[[#This Row],[TOTAL]],SUMIF(Material[FLAG],Material[[#This Row],[COUNT]]-1,Material[Length]),DATA[[#This Row],[Length]])</f>
        <v>6.8</v>
      </c>
      <c r="E5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2.5</v>
      </c>
      <c r="F5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4" s="155" t="str">
        <f>IF(Material[[#This Row],[TOTAL]],SUMIF(Material[FLAG],Material[[#This Row],[COUNT]]-1,Material[Bend15]),"")</f>
        <v/>
      </c>
      <c r="Q54" s="156" t="str">
        <f>IF(Material[[#This Row],[TOTAL]],SUMIF(Material[FLAG],Material[[#This Row],[COUNT]]-1,Material[Bend30]),"")</f>
        <v/>
      </c>
      <c r="R54" s="156" t="str">
        <f>IF(Material[[#This Row],[TOTAL]],SUMIF(Material[FLAG],Material[[#This Row],[COUNT]]-1,Material[Bend45]),"")</f>
        <v/>
      </c>
      <c r="S54" s="157" t="str">
        <f>IF(Material[[#This Row],[TOTAL]],SUMIF(Material[FLAG],Material[[#This Row],[COUNT]]-1,Material[Bend90]),"")</f>
        <v/>
      </c>
      <c r="T5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4" s="159" t="str">
        <f>DATA[[#This Row],[Product]]</f>
        <v>Plastic</v>
      </c>
      <c r="AC54" s="160">
        <f>DATA[[#This Row],[Fnd_Xd]]</f>
        <v>0</v>
      </c>
      <c r="AD54" s="161" t="b">
        <f>IF(ISNUMBER(SEARCH("jun",DATA[[#This Row],[From_Type]])),TRUE,FALSE)</f>
        <v>0</v>
      </c>
      <c r="AE54" s="162" t="str">
        <f>IF(Material[[#This Row],[JUNCTION]],CONCATENATE(Material[[#This Row],[From]],Material[[#This Row],[Dia]],DATA[[#This Row],[From_Type]]),"")</f>
        <v/>
      </c>
      <c r="AF54" s="163" t="b">
        <f>IF(OR(DATA[[#This Row],[TOTAL]],COUNTIF(Material[[#This Row],[From]:[Dia]],"*total*")&gt;0),TRUE,FALSE)</f>
        <v>0</v>
      </c>
      <c r="AG54" s="163">
        <f>IF(Material[[#This Row],[TOTAL]],"",Material[[#This Row],[COUNT]])</f>
        <v>2</v>
      </c>
      <c r="AH54" s="164">
        <f>IF(Material[[#This Row],[TOTAL]],$AH53+1,IF($AH53="COUNT",1,$AH53))</f>
        <v>2</v>
      </c>
    </row>
    <row r="55" spans="1:34" x14ac:dyDescent="0.2">
      <c r="A55" s="139" t="str">
        <f>DATA[[#This Row],[From_ID]]&amp;IF(COUNTA(DATA[[#This Row],[From_ID2]]),"/"&amp;DATA[[#This Row],[From_ID2]],)</f>
        <v>SWMH02</v>
      </c>
      <c r="B55" s="139" t="str">
        <f>DATA[[#This Row],[To_ID]]</f>
        <v>G4</v>
      </c>
      <c r="C55" s="141">
        <f>DATA[[#This Row],[Dia]]</f>
        <v>100</v>
      </c>
      <c r="D55" s="142">
        <f>IF(Material[[#This Row],[TOTAL]],SUMIF(Material[FLAG],Material[[#This Row],[COUNT]]-1,Material[Length]),DATA[[#This Row],[Length]])</f>
        <v>3.5</v>
      </c>
      <c r="E5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5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5" s="155" t="str">
        <f>IF(Material[[#This Row],[TOTAL]],SUMIF(Material[FLAG],Material[[#This Row],[COUNT]]-1,Material[Bend15]),"")</f>
        <v/>
      </c>
      <c r="Q55" s="156" t="str">
        <f>IF(Material[[#This Row],[TOTAL]],SUMIF(Material[FLAG],Material[[#This Row],[COUNT]]-1,Material[Bend30]),"")</f>
        <v/>
      </c>
      <c r="R55" s="156" t="str">
        <f>IF(Material[[#This Row],[TOTAL]],SUMIF(Material[FLAG],Material[[#This Row],[COUNT]]-1,Material[Bend45]),"")</f>
        <v/>
      </c>
      <c r="S55" s="157" t="str">
        <f>IF(Material[[#This Row],[TOTAL]],SUMIF(Material[FLAG],Material[[#This Row],[COUNT]]-1,Material[Bend90]),"")</f>
        <v/>
      </c>
      <c r="T5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5" s="159" t="str">
        <f>DATA[[#This Row],[Product]]</f>
        <v>Plastic</v>
      </c>
      <c r="AC55" s="160">
        <f>DATA[[#This Row],[Fnd_Xd]]</f>
        <v>0</v>
      </c>
      <c r="AD55" s="161" t="b">
        <f>IF(ISNUMBER(SEARCH("jun",DATA[[#This Row],[From_Type]])),TRUE,FALSE)</f>
        <v>0</v>
      </c>
      <c r="AE55" s="162" t="str">
        <f>IF(Material[[#This Row],[JUNCTION]],CONCATENATE(Material[[#This Row],[From]],Material[[#This Row],[Dia]],DATA[[#This Row],[From_Type]]),"")</f>
        <v/>
      </c>
      <c r="AF55" s="163" t="b">
        <f>IF(OR(DATA[[#This Row],[TOTAL]],COUNTIF(Material[[#This Row],[From]:[Dia]],"*total*")&gt;0),TRUE,FALSE)</f>
        <v>0</v>
      </c>
      <c r="AG55" s="163">
        <f>IF(Material[[#This Row],[TOTAL]],"",Material[[#This Row],[COUNT]])</f>
        <v>2</v>
      </c>
      <c r="AH55" s="164">
        <f>IF(Material[[#This Row],[TOTAL]],$AH54+1,IF($AH54="COUNT",1,$AH54))</f>
        <v>2</v>
      </c>
    </row>
    <row r="56" spans="1:34" x14ac:dyDescent="0.2">
      <c r="A56" s="139" t="str">
        <f>DATA[[#This Row],[From_ID]]&amp;IF(COUNTA(DATA[[#This Row],[From_ID2]]),"/"&amp;DATA[[#This Row],[From_ID2]],)</f>
        <v>SWMH05</v>
      </c>
      <c r="B56" s="139" t="str">
        <f>DATA[[#This Row],[To_ID]]</f>
        <v>G5</v>
      </c>
      <c r="C56" s="141">
        <f>DATA[[#This Row],[Dia]]</f>
        <v>100</v>
      </c>
      <c r="D56" s="142">
        <f>IF(Material[[#This Row],[TOTAL]],SUMIF(Material[FLAG],Material[[#This Row],[COUNT]]-1,Material[Length]),DATA[[#This Row],[Length]])</f>
        <v>3.5</v>
      </c>
      <c r="E56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6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6" s="155" t="str">
        <f>IF(Material[[#This Row],[TOTAL]],SUMIF(Material[FLAG],Material[[#This Row],[COUNT]]-1,Material[Bend15]),"")</f>
        <v/>
      </c>
      <c r="Q56" s="156" t="str">
        <f>IF(Material[[#This Row],[TOTAL]],SUMIF(Material[FLAG],Material[[#This Row],[COUNT]]-1,Material[Bend30]),"")</f>
        <v/>
      </c>
      <c r="R56" s="156" t="str">
        <f>IF(Material[[#This Row],[TOTAL]],SUMIF(Material[FLAG],Material[[#This Row],[COUNT]]-1,Material[Bend45]),"")</f>
        <v/>
      </c>
      <c r="S56" s="157" t="str">
        <f>IF(Material[[#This Row],[TOTAL]],SUMIF(Material[FLAG],Material[[#This Row],[COUNT]]-1,Material[Bend90]),"")</f>
        <v/>
      </c>
      <c r="T5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6" s="159" t="str">
        <f>DATA[[#This Row],[Product]]</f>
        <v>Plastic</v>
      </c>
      <c r="AC56" s="160">
        <f>DATA[[#This Row],[Fnd_Xd]]</f>
        <v>0</v>
      </c>
      <c r="AD56" s="161" t="b">
        <f>IF(ISNUMBER(SEARCH("jun",DATA[[#This Row],[From_Type]])),TRUE,FALSE)</f>
        <v>0</v>
      </c>
      <c r="AE56" s="162" t="str">
        <f>IF(Material[[#This Row],[JUNCTION]],CONCATENATE(Material[[#This Row],[From]],Material[[#This Row],[Dia]],DATA[[#This Row],[From_Type]]),"")</f>
        <v/>
      </c>
      <c r="AF56" s="163" t="b">
        <f>IF(OR(DATA[[#This Row],[TOTAL]],COUNTIF(Material[[#This Row],[From]:[Dia]],"*total*")&gt;0),TRUE,FALSE)</f>
        <v>0</v>
      </c>
      <c r="AG56" s="163">
        <f>IF(Material[[#This Row],[TOTAL]],"",Material[[#This Row],[COUNT]])</f>
        <v>2</v>
      </c>
      <c r="AH56" s="164">
        <f>IF(Material[[#This Row],[TOTAL]],$AH55+1,IF($AH55="COUNT",1,$AH55))</f>
        <v>2</v>
      </c>
    </row>
    <row r="57" spans="1:34" x14ac:dyDescent="0.2">
      <c r="A57" s="139" t="str">
        <f>DATA[[#This Row],[From_ID]]&amp;IF(COUNTA(DATA[[#This Row],[From_ID2]]),"/"&amp;DATA[[#This Row],[From_ID2]],)</f>
        <v>SWMH05</v>
      </c>
      <c r="B57" s="139" t="str">
        <f>DATA[[#This Row],[To_ID]]</f>
        <v>G6</v>
      </c>
      <c r="C57" s="141">
        <f>DATA[[#This Row],[Dia]]</f>
        <v>100</v>
      </c>
      <c r="D57" s="142">
        <f>IF(Material[[#This Row],[TOTAL]],SUMIF(Material[FLAG],Material[[#This Row],[COUNT]]-1,Material[Length]),DATA[[#This Row],[Length]])</f>
        <v>3.1</v>
      </c>
      <c r="E57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5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7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5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7" s="155" t="str">
        <f>IF(Material[[#This Row],[TOTAL]],SUMIF(Material[FLAG],Material[[#This Row],[COUNT]]-1,Material[Bend15]),"")</f>
        <v/>
      </c>
      <c r="Q57" s="156" t="str">
        <f>IF(Material[[#This Row],[TOTAL]],SUMIF(Material[FLAG],Material[[#This Row],[COUNT]]-1,Material[Bend30]),"")</f>
        <v/>
      </c>
      <c r="R57" s="156" t="str">
        <f>IF(Material[[#This Row],[TOTAL]],SUMIF(Material[FLAG],Material[[#This Row],[COUNT]]-1,Material[Bend45]),"")</f>
        <v/>
      </c>
      <c r="S57" s="157" t="str">
        <f>IF(Material[[#This Row],[TOTAL]],SUMIF(Material[FLAG],Material[[#This Row],[COUNT]]-1,Material[Bend90]),"")</f>
        <v/>
      </c>
      <c r="T5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7" s="159" t="str">
        <f>DATA[[#This Row],[Product]]</f>
        <v>Plastic</v>
      </c>
      <c r="AC57" s="160">
        <f>DATA[[#This Row],[Fnd_Xd]]</f>
        <v>0</v>
      </c>
      <c r="AD57" s="161" t="b">
        <f>IF(ISNUMBER(SEARCH("jun",DATA[[#This Row],[From_Type]])),TRUE,FALSE)</f>
        <v>0</v>
      </c>
      <c r="AE57" s="162" t="str">
        <f>IF(Material[[#This Row],[JUNCTION]],CONCATENATE(Material[[#This Row],[From]],Material[[#This Row],[Dia]],DATA[[#This Row],[From_Type]]),"")</f>
        <v/>
      </c>
      <c r="AF57" s="163" t="b">
        <f>IF(OR(DATA[[#This Row],[TOTAL]],COUNTIF(Material[[#This Row],[From]:[Dia]],"*total*")&gt;0),TRUE,FALSE)</f>
        <v>0</v>
      </c>
      <c r="AG57" s="163">
        <f>IF(Material[[#This Row],[TOTAL]],"",Material[[#This Row],[COUNT]])</f>
        <v>2</v>
      </c>
      <c r="AH57" s="164">
        <f>IF(Material[[#This Row],[TOTAL]],$AH56+1,IF($AH56="COUNT",1,$AH56))</f>
        <v>2</v>
      </c>
    </row>
    <row r="58" spans="1:34" x14ac:dyDescent="0.2">
      <c r="A58" s="139" t="str">
        <f>DATA[[#This Row],[From_ID]]&amp;IF(COUNTA(DATA[[#This Row],[From_ID2]]),"/"&amp;DATA[[#This Row],[From_ID2]],)</f>
        <v>SWMH05</v>
      </c>
      <c r="B58" s="139" t="str">
        <f>DATA[[#This Row],[To_ID]]</f>
        <v>G7</v>
      </c>
      <c r="C58" s="141">
        <f>DATA[[#This Row],[Dia]]</f>
        <v>100</v>
      </c>
      <c r="D58" s="142">
        <f>IF(Material[[#This Row],[TOTAL]],SUMIF(Material[FLAG],Material[[#This Row],[COUNT]]-1,Material[Length]),DATA[[#This Row],[Length]])</f>
        <v>8.5</v>
      </c>
      <c r="E5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5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5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8" s="155" t="str">
        <f>IF(Material[[#This Row],[TOTAL]],SUMIF(Material[FLAG],Material[[#This Row],[COUNT]]-1,Material[Bend15]),"")</f>
        <v/>
      </c>
      <c r="Q58" s="156" t="str">
        <f>IF(Material[[#This Row],[TOTAL]],SUMIF(Material[FLAG],Material[[#This Row],[COUNT]]-1,Material[Bend30]),"")</f>
        <v/>
      </c>
      <c r="R58" s="156" t="str">
        <f>IF(Material[[#This Row],[TOTAL]],SUMIF(Material[FLAG],Material[[#This Row],[COUNT]]-1,Material[Bend45]),"")</f>
        <v/>
      </c>
      <c r="S58" s="157" t="str">
        <f>IF(Material[[#This Row],[TOTAL]],SUMIF(Material[FLAG],Material[[#This Row],[COUNT]]-1,Material[Bend90]),"")</f>
        <v/>
      </c>
      <c r="T5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8" s="159" t="str">
        <f>DATA[[#This Row],[Product]]</f>
        <v>Plastic</v>
      </c>
      <c r="AC58" s="160">
        <f>DATA[[#This Row],[Fnd_Xd]]</f>
        <v>0</v>
      </c>
      <c r="AD58" s="161" t="b">
        <f>IF(ISNUMBER(SEARCH("jun",DATA[[#This Row],[From_Type]])),TRUE,FALSE)</f>
        <v>0</v>
      </c>
      <c r="AE58" s="162" t="str">
        <f>IF(Material[[#This Row],[JUNCTION]],CONCATENATE(Material[[#This Row],[From]],Material[[#This Row],[Dia]],DATA[[#This Row],[From_Type]]),"")</f>
        <v/>
      </c>
      <c r="AF58" s="163" t="b">
        <f>IF(OR(DATA[[#This Row],[TOTAL]],COUNTIF(Material[[#This Row],[From]:[Dia]],"*total*")&gt;0),TRUE,FALSE)</f>
        <v>0</v>
      </c>
      <c r="AG58" s="163">
        <f>IF(Material[[#This Row],[TOTAL]],"",Material[[#This Row],[COUNT]])</f>
        <v>2</v>
      </c>
      <c r="AH58" s="164">
        <f>IF(Material[[#This Row],[TOTAL]],$AH57+1,IF($AH57="COUNT",1,$AH57))</f>
        <v>2</v>
      </c>
    </row>
    <row r="59" spans="1:34" x14ac:dyDescent="0.2">
      <c r="A59" s="139" t="str">
        <f>DATA[[#This Row],[From_ID]]&amp;IF(COUNTA(DATA[[#This Row],[From_ID2]]),"/"&amp;DATA[[#This Row],[From_ID2]],)</f>
        <v>SWMH06</v>
      </c>
      <c r="B59" s="139" t="str">
        <f>DATA[[#This Row],[To_ID]]</f>
        <v>G8</v>
      </c>
      <c r="C59" s="141">
        <f>DATA[[#This Row],[Dia]]</f>
        <v>100</v>
      </c>
      <c r="D59" s="142">
        <f>IF(Material[[#This Row],[TOTAL]],SUMIF(Material[FLAG],Material[[#This Row],[COUNT]]-1,Material[Length]),DATA[[#This Row],[Length]])</f>
        <v>4.7</v>
      </c>
      <c r="E5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5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5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5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5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5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5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5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5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5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5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59" s="155" t="str">
        <f>IF(Material[[#This Row],[TOTAL]],SUMIF(Material[FLAG],Material[[#This Row],[COUNT]]-1,Material[Bend15]),"")</f>
        <v/>
      </c>
      <c r="Q59" s="156" t="str">
        <f>IF(Material[[#This Row],[TOTAL]],SUMIF(Material[FLAG],Material[[#This Row],[COUNT]]-1,Material[Bend30]),"")</f>
        <v/>
      </c>
      <c r="R59" s="156" t="str">
        <f>IF(Material[[#This Row],[TOTAL]],SUMIF(Material[FLAG],Material[[#This Row],[COUNT]]-1,Material[Bend45]),"")</f>
        <v/>
      </c>
      <c r="S59" s="157" t="str">
        <f>IF(Material[[#This Row],[TOTAL]],SUMIF(Material[FLAG],Material[[#This Row],[COUNT]]-1,Material[Bend90]),"")</f>
        <v/>
      </c>
      <c r="T5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5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5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5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5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5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5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5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59" s="159" t="str">
        <f>DATA[[#This Row],[Product]]</f>
        <v>Plastic</v>
      </c>
      <c r="AC59" s="160">
        <f>DATA[[#This Row],[Fnd_Xd]]</f>
        <v>0</v>
      </c>
      <c r="AD59" s="161" t="b">
        <f>IF(ISNUMBER(SEARCH("jun",DATA[[#This Row],[From_Type]])),TRUE,FALSE)</f>
        <v>0</v>
      </c>
      <c r="AE59" s="162" t="str">
        <f>IF(Material[[#This Row],[JUNCTION]],CONCATENATE(Material[[#This Row],[From]],Material[[#This Row],[Dia]],DATA[[#This Row],[From_Type]]),"")</f>
        <v/>
      </c>
      <c r="AF59" s="163" t="b">
        <f>IF(OR(DATA[[#This Row],[TOTAL]],COUNTIF(Material[[#This Row],[From]:[Dia]],"*total*")&gt;0),TRUE,FALSE)</f>
        <v>0</v>
      </c>
      <c r="AG59" s="163">
        <f>IF(Material[[#This Row],[TOTAL]],"",Material[[#This Row],[COUNT]])</f>
        <v>2</v>
      </c>
      <c r="AH59" s="164">
        <f>IF(Material[[#This Row],[TOTAL]],$AH58+1,IF($AH58="COUNT",1,$AH58))</f>
        <v>2</v>
      </c>
    </row>
    <row r="60" spans="1:34" x14ac:dyDescent="0.2">
      <c r="A60" s="139" t="str">
        <f>DATA[[#This Row],[From_ID]]&amp;IF(COUNTA(DATA[[#This Row],[From_ID2]]),"/"&amp;DATA[[#This Row],[From_ID2]],)</f>
        <v>SWMH06</v>
      </c>
      <c r="B60" s="139" t="str">
        <f>DATA[[#This Row],[To_ID]]</f>
        <v>G9</v>
      </c>
      <c r="C60" s="141">
        <f>DATA[[#This Row],[Dia]]</f>
        <v>100</v>
      </c>
      <c r="D60" s="142">
        <f>IF(Material[[#This Row],[TOTAL]],SUMIF(Material[FLAG],Material[[#This Row],[COUNT]]-1,Material[Length]),DATA[[#This Row],[Length]])</f>
        <v>8.4</v>
      </c>
      <c r="E6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6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6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0" s="155" t="str">
        <f>IF(Material[[#This Row],[TOTAL]],SUMIF(Material[FLAG],Material[[#This Row],[COUNT]]-1,Material[Bend15]),"")</f>
        <v/>
      </c>
      <c r="Q60" s="156" t="str">
        <f>IF(Material[[#This Row],[TOTAL]],SUMIF(Material[FLAG],Material[[#This Row],[COUNT]]-1,Material[Bend30]),"")</f>
        <v/>
      </c>
      <c r="R60" s="156" t="str">
        <f>IF(Material[[#This Row],[TOTAL]],SUMIF(Material[FLAG],Material[[#This Row],[COUNT]]-1,Material[Bend45]),"")</f>
        <v/>
      </c>
      <c r="S60" s="157" t="str">
        <f>IF(Material[[#This Row],[TOTAL]],SUMIF(Material[FLAG],Material[[#This Row],[COUNT]]-1,Material[Bend90]),"")</f>
        <v/>
      </c>
      <c r="T6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0" s="159" t="str">
        <f>DATA[[#This Row],[Product]]</f>
        <v>Plastic</v>
      </c>
      <c r="AC60" s="160">
        <f>DATA[[#This Row],[Fnd_Xd]]</f>
        <v>0</v>
      </c>
      <c r="AD60" s="161" t="b">
        <f>IF(ISNUMBER(SEARCH("jun",DATA[[#This Row],[From_Type]])),TRUE,FALSE)</f>
        <v>0</v>
      </c>
      <c r="AE60" s="162" t="str">
        <f>IF(Material[[#This Row],[JUNCTION]],CONCATENATE(Material[[#This Row],[From]],Material[[#This Row],[Dia]],DATA[[#This Row],[From_Type]]),"")</f>
        <v/>
      </c>
      <c r="AF60" s="163" t="b">
        <f>IF(OR(DATA[[#This Row],[TOTAL]],COUNTIF(Material[[#This Row],[From]:[Dia]],"*total*")&gt;0),TRUE,FALSE)</f>
        <v>0</v>
      </c>
      <c r="AG60" s="163">
        <f>IF(Material[[#This Row],[TOTAL]],"",Material[[#This Row],[COUNT]])</f>
        <v>2</v>
      </c>
      <c r="AH60" s="164">
        <f>IF(Material[[#This Row],[TOTAL]],$AH59+1,IF($AH59="COUNT",1,$AH59))</f>
        <v>2</v>
      </c>
    </row>
    <row r="61" spans="1:34" x14ac:dyDescent="0.2">
      <c r="A61" s="139" t="str">
        <f>DATA[[#This Row],[From_ID]]&amp;IF(COUNTA(DATA[[#This Row],[From_ID2]]),"/"&amp;DATA[[#This Row],[From_ID2]],)</f>
        <v>SWMH07</v>
      </c>
      <c r="B61" s="139" t="str">
        <f>DATA[[#This Row],[To_ID]]</f>
        <v>G10</v>
      </c>
      <c r="C61" s="141">
        <f>DATA[[#This Row],[Dia]]</f>
        <v>100</v>
      </c>
      <c r="D61" s="142">
        <f>IF(Material[[#This Row],[TOTAL]],SUMIF(Material[FLAG],Material[[#This Row],[COUNT]]-1,Material[Length]),DATA[[#This Row],[Length]])</f>
        <v>5.45</v>
      </c>
      <c r="E6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6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6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1" s="155" t="str">
        <f>IF(Material[[#This Row],[TOTAL]],SUMIF(Material[FLAG],Material[[#This Row],[COUNT]]-1,Material[Bend15]),"")</f>
        <v/>
      </c>
      <c r="Q61" s="156" t="str">
        <f>IF(Material[[#This Row],[TOTAL]],SUMIF(Material[FLAG],Material[[#This Row],[COUNT]]-1,Material[Bend30]),"")</f>
        <v/>
      </c>
      <c r="R61" s="156" t="str">
        <f>IF(Material[[#This Row],[TOTAL]],SUMIF(Material[FLAG],Material[[#This Row],[COUNT]]-1,Material[Bend45]),"")</f>
        <v/>
      </c>
      <c r="S61" s="157" t="str">
        <f>IF(Material[[#This Row],[TOTAL]],SUMIF(Material[FLAG],Material[[#This Row],[COUNT]]-1,Material[Bend90]),"")</f>
        <v/>
      </c>
      <c r="T6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1" s="159" t="str">
        <f>DATA[[#This Row],[Product]]</f>
        <v>Plastic</v>
      </c>
      <c r="AC61" s="160">
        <f>DATA[[#This Row],[Fnd_Xd]]</f>
        <v>0</v>
      </c>
      <c r="AD61" s="161" t="b">
        <f>IF(ISNUMBER(SEARCH("jun",DATA[[#This Row],[From_Type]])),TRUE,FALSE)</f>
        <v>0</v>
      </c>
      <c r="AE61" s="162" t="str">
        <f>IF(Material[[#This Row],[JUNCTION]],CONCATENATE(Material[[#This Row],[From]],Material[[#This Row],[Dia]],DATA[[#This Row],[From_Type]]),"")</f>
        <v/>
      </c>
      <c r="AF61" s="163" t="b">
        <f>IF(OR(DATA[[#This Row],[TOTAL]],COUNTIF(Material[[#This Row],[From]:[Dia]],"*total*")&gt;0),TRUE,FALSE)</f>
        <v>0</v>
      </c>
      <c r="AG61" s="163">
        <f>IF(Material[[#This Row],[TOTAL]],"",Material[[#This Row],[COUNT]])</f>
        <v>2</v>
      </c>
      <c r="AH61" s="164">
        <f>IF(Material[[#This Row],[TOTAL]],$AH60+1,IF($AH60="COUNT",1,$AH60))</f>
        <v>2</v>
      </c>
    </row>
    <row r="62" spans="1:34" x14ac:dyDescent="0.2">
      <c r="A62" s="139" t="str">
        <f>DATA[[#This Row],[From_ID]]&amp;IF(COUNTA(DATA[[#This Row],[From_ID2]]),"/"&amp;DATA[[#This Row],[From_ID2]],)</f>
        <v>SWMH07</v>
      </c>
      <c r="B62" s="139" t="str">
        <f>DATA[[#This Row],[To_ID]]</f>
        <v>G11</v>
      </c>
      <c r="C62" s="141">
        <f>DATA[[#This Row],[Dia]]</f>
        <v>100</v>
      </c>
      <c r="D62" s="142">
        <f>IF(Material[[#This Row],[TOTAL]],SUMIF(Material[FLAG],Material[[#This Row],[COUNT]]-1,Material[Length]),DATA[[#This Row],[Length]])</f>
        <v>4.3</v>
      </c>
      <c r="E62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6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2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6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2" s="155" t="str">
        <f>IF(Material[[#This Row],[TOTAL]],SUMIF(Material[FLAG],Material[[#This Row],[COUNT]]-1,Material[Bend15]),"")</f>
        <v/>
      </c>
      <c r="Q62" s="156" t="str">
        <f>IF(Material[[#This Row],[TOTAL]],SUMIF(Material[FLAG],Material[[#This Row],[COUNT]]-1,Material[Bend30]),"")</f>
        <v/>
      </c>
      <c r="R62" s="156" t="str">
        <f>IF(Material[[#This Row],[TOTAL]],SUMIF(Material[FLAG],Material[[#This Row],[COUNT]]-1,Material[Bend45]),"")</f>
        <v/>
      </c>
      <c r="S62" s="157" t="str">
        <f>IF(Material[[#This Row],[TOTAL]],SUMIF(Material[FLAG],Material[[#This Row],[COUNT]]-1,Material[Bend90]),"")</f>
        <v/>
      </c>
      <c r="T6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2" s="159" t="str">
        <f>DATA[[#This Row],[Product]]</f>
        <v>Plastic</v>
      </c>
      <c r="AC62" s="160">
        <f>DATA[[#This Row],[Fnd_Xd]]</f>
        <v>0</v>
      </c>
      <c r="AD62" s="161" t="b">
        <f>IF(ISNUMBER(SEARCH("jun",DATA[[#This Row],[From_Type]])),TRUE,FALSE)</f>
        <v>0</v>
      </c>
      <c r="AE62" s="162" t="str">
        <f>IF(Material[[#This Row],[JUNCTION]],CONCATENATE(Material[[#This Row],[From]],Material[[#This Row],[Dia]],DATA[[#This Row],[From_Type]]),"")</f>
        <v/>
      </c>
      <c r="AF62" s="163" t="b">
        <f>IF(OR(DATA[[#This Row],[TOTAL]],COUNTIF(Material[[#This Row],[From]:[Dia]],"*total*")&gt;0),TRUE,FALSE)</f>
        <v>0</v>
      </c>
      <c r="AG62" s="163">
        <f>IF(Material[[#This Row],[TOTAL]],"",Material[[#This Row],[COUNT]])</f>
        <v>2</v>
      </c>
      <c r="AH62" s="164">
        <f>IF(Material[[#This Row],[TOTAL]],$AH61+1,IF($AH61="COUNT",1,$AH61))</f>
        <v>2</v>
      </c>
    </row>
    <row r="63" spans="1:34" x14ac:dyDescent="0.2">
      <c r="A63" s="139" t="str">
        <f>DATA[[#This Row],[From_ID]]&amp;IF(COUNTA(DATA[[#This Row],[From_ID2]]),"/"&amp;DATA[[#This Row],[From_ID2]],)</f>
        <v>SWMH08</v>
      </c>
      <c r="B63" s="139" t="str">
        <f>DATA[[#This Row],[To_ID]]</f>
        <v>G12</v>
      </c>
      <c r="C63" s="141">
        <f>DATA[[#This Row],[Dia]]</f>
        <v>100</v>
      </c>
      <c r="D63" s="142">
        <f>IF(Material[[#This Row],[TOTAL]],SUMIF(Material[FLAG],Material[[#This Row],[COUNT]]-1,Material[Length]),DATA[[#This Row],[Length]])</f>
        <v>4.0999999999999996</v>
      </c>
      <c r="E63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1.5</v>
      </c>
      <c r="F63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3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63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3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3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3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3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3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3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3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3" s="155" t="str">
        <f>IF(Material[[#This Row],[TOTAL]],SUMIF(Material[FLAG],Material[[#This Row],[COUNT]]-1,Material[Bend15]),"")</f>
        <v/>
      </c>
      <c r="Q63" s="156" t="str">
        <f>IF(Material[[#This Row],[TOTAL]],SUMIF(Material[FLAG],Material[[#This Row],[COUNT]]-1,Material[Bend30]),"")</f>
        <v/>
      </c>
      <c r="R63" s="156" t="str">
        <f>IF(Material[[#This Row],[TOTAL]],SUMIF(Material[FLAG],Material[[#This Row],[COUNT]]-1,Material[Bend45]),"")</f>
        <v/>
      </c>
      <c r="S63" s="157" t="str">
        <f>IF(Material[[#This Row],[TOTAL]],SUMIF(Material[FLAG],Material[[#This Row],[COUNT]]-1,Material[Bend90]),"")</f>
        <v/>
      </c>
      <c r="T63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3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3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3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3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3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3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3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3" s="159" t="str">
        <f>DATA[[#This Row],[Product]]</f>
        <v>Plastic</v>
      </c>
      <c r="AC63" s="160">
        <f>DATA[[#This Row],[Fnd_Xd]]</f>
        <v>0</v>
      </c>
      <c r="AD63" s="161" t="b">
        <f>IF(ISNUMBER(SEARCH("jun",DATA[[#This Row],[From_Type]])),TRUE,FALSE)</f>
        <v>0</v>
      </c>
      <c r="AE63" s="162" t="str">
        <f>IF(Material[[#This Row],[JUNCTION]],CONCATENATE(Material[[#This Row],[From]],Material[[#This Row],[Dia]],DATA[[#This Row],[From_Type]]),"")</f>
        <v/>
      </c>
      <c r="AF63" s="163" t="b">
        <f>IF(OR(DATA[[#This Row],[TOTAL]],COUNTIF(Material[[#This Row],[From]:[Dia]],"*total*")&gt;0),TRUE,FALSE)</f>
        <v>0</v>
      </c>
      <c r="AG63" s="163">
        <f>IF(Material[[#This Row],[TOTAL]],"",Material[[#This Row],[COUNT]])</f>
        <v>2</v>
      </c>
      <c r="AH63" s="164">
        <f>IF(Material[[#This Row],[TOTAL]],$AH62+1,IF($AH62="COUNT",1,$AH62))</f>
        <v>2</v>
      </c>
    </row>
    <row r="64" spans="1:34" x14ac:dyDescent="0.2">
      <c r="A64" s="139" t="str">
        <f>DATA[[#This Row],[From_ID]]&amp;IF(COUNTA(DATA[[#This Row],[From_ID2]]),"/"&amp;DATA[[#This Row],[From_ID2]],)</f>
        <v>SWMH08</v>
      </c>
      <c r="B64" s="139" t="str">
        <f>DATA[[#This Row],[To_ID]]</f>
        <v>G13</v>
      </c>
      <c r="C64" s="141">
        <f>DATA[[#This Row],[Dia]]</f>
        <v>100</v>
      </c>
      <c r="D64" s="142">
        <f>IF(Material[[#This Row],[TOTAL]],SUMIF(Material[FLAG],Material[[#This Row],[COUNT]]-1,Material[Length]),DATA[[#This Row],[Length]])</f>
        <v>9.8000000000000007</v>
      </c>
      <c r="E64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3.5</v>
      </c>
      <c r="F64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4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</v>
      </c>
      <c r="H64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4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4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4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4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4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4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4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4" s="155" t="str">
        <f>IF(Material[[#This Row],[TOTAL]],SUMIF(Material[FLAG],Material[[#This Row],[COUNT]]-1,Material[Bend15]),"")</f>
        <v/>
      </c>
      <c r="Q64" s="156" t="str">
        <f>IF(Material[[#This Row],[TOTAL]],SUMIF(Material[FLAG],Material[[#This Row],[COUNT]]-1,Material[Bend30]),"")</f>
        <v/>
      </c>
      <c r="R64" s="156" t="str">
        <f>IF(Material[[#This Row],[TOTAL]],SUMIF(Material[FLAG],Material[[#This Row],[COUNT]]-1,Material[Bend45]),"")</f>
        <v/>
      </c>
      <c r="S64" s="157" t="str">
        <f>IF(Material[[#This Row],[TOTAL]],SUMIF(Material[FLAG],Material[[#This Row],[COUNT]]-1,Material[Bend90]),"")</f>
        <v/>
      </c>
      <c r="T64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4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4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4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</v>
      </c>
      <c r="X64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4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4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4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4" s="159" t="str">
        <f>DATA[[#This Row],[Product]]</f>
        <v>Plastic</v>
      </c>
      <c r="AC64" s="160">
        <f>DATA[[#This Row],[Fnd_Xd]]</f>
        <v>0</v>
      </c>
      <c r="AD64" s="161" t="b">
        <f>IF(ISNUMBER(SEARCH("jun",DATA[[#This Row],[From_Type]])),TRUE,FALSE)</f>
        <v>0</v>
      </c>
      <c r="AE64" s="162" t="str">
        <f>IF(Material[[#This Row],[JUNCTION]],CONCATENATE(Material[[#This Row],[From]],Material[[#This Row],[Dia]],DATA[[#This Row],[From_Type]]),"")</f>
        <v/>
      </c>
      <c r="AF64" s="163" t="b">
        <f>IF(OR(DATA[[#This Row],[TOTAL]],COUNTIF(Material[[#This Row],[From]:[Dia]],"*total*")&gt;0),TRUE,FALSE)</f>
        <v>0</v>
      </c>
      <c r="AG64" s="163">
        <f>IF(Material[[#This Row],[TOTAL]],"",Material[[#This Row],[COUNT]])</f>
        <v>2</v>
      </c>
      <c r="AH64" s="164">
        <f>IF(Material[[#This Row],[TOTAL]],$AH63+1,IF($AH63="COUNT",1,$AH63))</f>
        <v>2</v>
      </c>
    </row>
    <row r="65" spans="1:34" x14ac:dyDescent="0.2">
      <c r="A65" s="139" t="str">
        <f>DATA[[#This Row],[From_ID]]&amp;IF(COUNTA(DATA[[#This Row],[From_ID2]]),"/"&amp;DATA[[#This Row],[From_ID2]],)</f>
        <v>TOTAL</v>
      </c>
      <c r="B65" s="139">
        <f>DATA[[#This Row],[To_ID]]</f>
        <v>0</v>
      </c>
      <c r="C65" s="141">
        <f>DATA[[#This Row],[Dia]]</f>
        <v>0</v>
      </c>
      <c r="D65" s="142">
        <f>IF(Material[[#This Row],[TOTAL]],SUMIF(Material[FLAG],Material[[#This Row],[COUNT]]-1,Material[Length]),DATA[[#This Row],[Length]])</f>
        <v>75.150000000000006</v>
      </c>
      <c r="E65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28</v>
      </c>
      <c r="F65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24</v>
      </c>
      <c r="G65" s="151">
        <f>IF(Material[[#This Row],[TOTAL]],SUMIF(Material[FLAG],Material[[#This Row],[COUNT]]-1,Material[Coupl]),IF(ISNUMBER(Material[[#This Row],[Std_Pipes]]),CEILING(MOD(Material[[#This Row],[Std_Pipes]],1),1)+Material[[#This Row],[Rock_Pipes]],""))</f>
        <v>32</v>
      </c>
      <c r="H65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5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5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5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5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5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5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5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5" s="155">
        <f>IF(Material[[#This Row],[TOTAL]],SUMIF(Material[FLAG],Material[[#This Row],[COUNT]]-1,Material[Bend15]),"")</f>
        <v>0</v>
      </c>
      <c r="Q65" s="156">
        <f>IF(Material[[#This Row],[TOTAL]],SUMIF(Material[FLAG],Material[[#This Row],[COUNT]]-1,Material[Bend30]),"")</f>
        <v>0</v>
      </c>
      <c r="R65" s="156">
        <f>IF(Material[[#This Row],[TOTAL]],SUMIF(Material[FLAG],Material[[#This Row],[COUNT]]-1,Material[Bend45]),"")</f>
        <v>0</v>
      </c>
      <c r="S65" s="157">
        <f>IF(Material[[#This Row],[TOTAL]],SUMIF(Material[FLAG],Material[[#This Row],[COUNT]]-1,Material[Bend90]),"")</f>
        <v>0</v>
      </c>
      <c r="T65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5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5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5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13</v>
      </c>
      <c r="X65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5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5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5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5" s="159" t="str">
        <f>DATA[[#This Row],[Product]]</f>
        <v>Plastic</v>
      </c>
      <c r="AC65" s="160">
        <f>DATA[[#This Row],[Fnd_Xd]]</f>
        <v>0</v>
      </c>
      <c r="AD65" s="161" t="b">
        <f>IF(ISNUMBER(SEARCH("jun",DATA[[#This Row],[From_Type]])),TRUE,FALSE)</f>
        <v>0</v>
      </c>
      <c r="AE65" s="162" t="str">
        <f>IF(Material[[#This Row],[JUNCTION]],CONCATENATE(Material[[#This Row],[From]],Material[[#This Row],[Dia]],DATA[[#This Row],[From_Type]]),"")</f>
        <v/>
      </c>
      <c r="AF65" s="163" t="b">
        <f>IF(OR(DATA[[#This Row],[TOTAL]],COUNTIF(Material[[#This Row],[From]:[Dia]],"*total*")&gt;0),TRUE,FALSE)</f>
        <v>1</v>
      </c>
      <c r="AG65" s="163" t="str">
        <f>IF(Material[[#This Row],[TOTAL]],"",Material[[#This Row],[COUNT]])</f>
        <v/>
      </c>
      <c r="AH65" s="164">
        <f>IF(Material[[#This Row],[TOTAL]],$AH64+1,IF($AH64="COUNT",1,$AH64))</f>
        <v>3</v>
      </c>
    </row>
    <row r="66" spans="1:34" x14ac:dyDescent="0.2">
      <c r="A66" s="139" t="str">
        <f>DATA[[#This Row],[From_ID]]&amp;IF(COUNTA(DATA[[#This Row],[From_ID2]]),"/"&amp;DATA[[#This Row],[From_ID2]],)</f>
        <v/>
      </c>
      <c r="B66" s="139">
        <f>DATA[[#This Row],[To_ID]]</f>
        <v>0</v>
      </c>
      <c r="C66" s="141">
        <f>DATA[[#This Row],[Dia]]</f>
        <v>0</v>
      </c>
      <c r="D66" s="142">
        <f>IF(Material[[#This Row],[TOTAL]],SUMIF(Material[FLAG],Material[[#This Row],[COUNT]]-1,Material[Length]),DATA[[#This Row],[Length]])</f>
        <v>0</v>
      </c>
      <c r="E66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66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66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66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6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6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6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6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6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6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6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6" s="155" t="str">
        <f>IF(Material[[#This Row],[TOTAL]],SUMIF(Material[FLAG],Material[[#This Row],[COUNT]]-1,Material[Bend15]),"")</f>
        <v/>
      </c>
      <c r="Q66" s="156" t="str">
        <f>IF(Material[[#This Row],[TOTAL]],SUMIF(Material[FLAG],Material[[#This Row],[COUNT]]-1,Material[Bend30]),"")</f>
        <v/>
      </c>
      <c r="R66" s="156" t="str">
        <f>IF(Material[[#This Row],[TOTAL]],SUMIF(Material[FLAG],Material[[#This Row],[COUNT]]-1,Material[Bend45]),"")</f>
        <v/>
      </c>
      <c r="S66" s="157" t="str">
        <f>IF(Material[[#This Row],[TOTAL]],SUMIF(Material[FLAG],Material[[#This Row],[COUNT]]-1,Material[Bend90]),"")</f>
        <v/>
      </c>
      <c r="T66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6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6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6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6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6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6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6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6" s="159" t="str">
        <f>DATA[[#This Row],[Product]]</f>
        <v>Plastic</v>
      </c>
      <c r="AC66" s="160">
        <f>DATA[[#This Row],[Fnd_Xd]]</f>
        <v>0</v>
      </c>
      <c r="AD66" s="161" t="b">
        <f>IF(ISNUMBER(SEARCH("jun",DATA[[#This Row],[From_Type]])),TRUE,FALSE)</f>
        <v>0</v>
      </c>
      <c r="AE66" s="162" t="str">
        <f>IF(Material[[#This Row],[JUNCTION]],CONCATENATE(Material[[#This Row],[From]],Material[[#This Row],[Dia]],DATA[[#This Row],[From_Type]]),"")</f>
        <v/>
      </c>
      <c r="AF66" s="163" t="b">
        <f>IF(OR(DATA[[#This Row],[TOTAL]],COUNTIF(Material[[#This Row],[From]:[Dia]],"*total*")&gt;0),TRUE,FALSE)</f>
        <v>0</v>
      </c>
      <c r="AG66" s="163">
        <f>IF(Material[[#This Row],[TOTAL]],"",Material[[#This Row],[COUNT]])</f>
        <v>3</v>
      </c>
      <c r="AH66" s="164">
        <f>IF(Material[[#This Row],[TOTAL]],$AH65+1,IF($AH65="COUNT",1,$AH65))</f>
        <v>3</v>
      </c>
    </row>
    <row r="67" spans="1:34" x14ac:dyDescent="0.2">
      <c r="A67" s="139" t="str">
        <f>DATA[[#This Row],[From_ID]]&amp;IF(COUNTA(DATA[[#This Row],[From_ID2]]),"/"&amp;DATA[[#This Row],[From_ID2]],)</f>
        <v>Foul Water</v>
      </c>
      <c r="B67" s="139">
        <f>DATA[[#This Row],[To_ID]]</f>
        <v>0</v>
      </c>
      <c r="C67" s="141">
        <f>DATA[[#This Row],[Dia]]</f>
        <v>0</v>
      </c>
      <c r="D67" s="142">
        <f>IF(Material[[#This Row],[TOTAL]],SUMIF(Material[FLAG],Material[[#This Row],[COUNT]]-1,Material[Length]),DATA[[#This Row],[Length]])</f>
        <v>0</v>
      </c>
      <c r="E67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67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67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67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7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7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7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7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7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7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7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7" s="155" t="str">
        <f>IF(Material[[#This Row],[TOTAL]],SUMIF(Material[FLAG],Material[[#This Row],[COUNT]]-1,Material[Bend15]),"")</f>
        <v/>
      </c>
      <c r="Q67" s="156" t="str">
        <f>IF(Material[[#This Row],[TOTAL]],SUMIF(Material[FLAG],Material[[#This Row],[COUNT]]-1,Material[Bend30]),"")</f>
        <v/>
      </c>
      <c r="R67" s="156" t="str">
        <f>IF(Material[[#This Row],[TOTAL]],SUMIF(Material[FLAG],Material[[#This Row],[COUNT]]-1,Material[Bend45]),"")</f>
        <v/>
      </c>
      <c r="S67" s="157" t="str">
        <f>IF(Material[[#This Row],[TOTAL]],SUMIF(Material[FLAG],Material[[#This Row],[COUNT]]-1,Material[Bend90]),"")</f>
        <v/>
      </c>
      <c r="T67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7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7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7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7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7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7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7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7" s="159" t="str">
        <f>DATA[[#This Row],[Product]]</f>
        <v>Plastic</v>
      </c>
      <c r="AC67" s="160">
        <f>DATA[[#This Row],[Fnd_Xd]]</f>
        <v>0</v>
      </c>
      <c r="AD67" s="161" t="b">
        <f>IF(ISNUMBER(SEARCH("jun",DATA[[#This Row],[From_Type]])),TRUE,FALSE)</f>
        <v>0</v>
      </c>
      <c r="AE67" s="162" t="str">
        <f>IF(Material[[#This Row],[JUNCTION]],CONCATENATE(Material[[#This Row],[From]],Material[[#This Row],[Dia]],DATA[[#This Row],[From_Type]]),"")</f>
        <v/>
      </c>
      <c r="AF67" s="163" t="b">
        <f>IF(OR(DATA[[#This Row],[TOTAL]],COUNTIF(Material[[#This Row],[From]:[Dia]],"*total*")&gt;0),TRUE,FALSE)</f>
        <v>0</v>
      </c>
      <c r="AG67" s="163">
        <f>IF(Material[[#This Row],[TOTAL]],"",Material[[#This Row],[COUNT]])</f>
        <v>3</v>
      </c>
      <c r="AH67" s="164">
        <f>IF(Material[[#This Row],[TOTAL]],$AH66+1,IF($AH66="COUNT",1,$AH66))</f>
        <v>3</v>
      </c>
    </row>
    <row r="68" spans="1:34" x14ac:dyDescent="0.2">
      <c r="A68" s="139" t="str">
        <f>DATA[[#This Row],[From_ID]]&amp;IF(COUNTA(DATA[[#This Row],[From_ID2]]),"/"&amp;DATA[[#This Row],[From_ID2]],)</f>
        <v>FWMH04</v>
      </c>
      <c r="B68" s="139" t="str">
        <f>DATA[[#This Row],[To_ID]]</f>
        <v>FWMH09</v>
      </c>
      <c r="C68" s="141">
        <f>DATA[[#This Row],[Dia]]</f>
        <v>100</v>
      </c>
      <c r="D68" s="142">
        <f>IF(Material[[#This Row],[TOTAL]],SUMIF(Material[FLAG],Material[[#This Row],[COUNT]]-1,Material[Length]),DATA[[#This Row],[Length]])</f>
        <v>5</v>
      </c>
      <c r="E68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68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68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68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8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8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8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8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8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8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8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8" s="155" t="str">
        <f>IF(Material[[#This Row],[TOTAL]],SUMIF(Material[FLAG],Material[[#This Row],[COUNT]]-1,Material[Bend15]),"")</f>
        <v/>
      </c>
      <c r="Q68" s="156" t="str">
        <f>IF(Material[[#This Row],[TOTAL]],SUMIF(Material[FLAG],Material[[#This Row],[COUNT]]-1,Material[Bend30]),"")</f>
        <v/>
      </c>
      <c r="R68" s="156" t="str">
        <f>IF(Material[[#This Row],[TOTAL]],SUMIF(Material[FLAG],Material[[#This Row],[COUNT]]-1,Material[Bend45]),"")</f>
        <v/>
      </c>
      <c r="S68" s="157" t="str">
        <f>IF(Material[[#This Row],[TOTAL]],SUMIF(Material[FLAG],Material[[#This Row],[COUNT]]-1,Material[Bend90]),"")</f>
        <v/>
      </c>
      <c r="T68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68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8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8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8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8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8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8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8" s="159" t="str">
        <f>DATA[[#This Row],[Product]]</f>
        <v>Plastic</v>
      </c>
      <c r="AC68" s="160">
        <f>DATA[[#This Row],[Fnd_Xd]]</f>
        <v>0</v>
      </c>
      <c r="AD68" s="161" t="b">
        <f>IF(ISNUMBER(SEARCH("jun",DATA[[#This Row],[From_Type]])),TRUE,FALSE)</f>
        <v>0</v>
      </c>
      <c r="AE68" s="162" t="str">
        <f>IF(Material[[#This Row],[JUNCTION]],CONCATENATE(Material[[#This Row],[From]],Material[[#This Row],[Dia]],DATA[[#This Row],[From_Type]]),"")</f>
        <v/>
      </c>
      <c r="AF68" s="163" t="b">
        <f>IF(OR(DATA[[#This Row],[TOTAL]],COUNTIF(Material[[#This Row],[From]:[Dia]],"*total*")&gt;0),TRUE,FALSE)</f>
        <v>0</v>
      </c>
      <c r="AG68" s="163">
        <f>IF(Material[[#This Row],[TOTAL]],"",Material[[#This Row],[COUNT]])</f>
        <v>3</v>
      </c>
      <c r="AH68" s="164">
        <f>IF(Material[[#This Row],[TOTAL]],$AH67+1,IF($AH67="COUNT",1,$AH67))</f>
        <v>3</v>
      </c>
    </row>
    <row r="69" spans="1:34" x14ac:dyDescent="0.2">
      <c r="A69" s="139" t="str">
        <f>DATA[[#This Row],[From_ID]]&amp;IF(COUNTA(DATA[[#This Row],[From_ID2]]),"/"&amp;DATA[[#This Row],[From_ID2]],)</f>
        <v>FWMH09</v>
      </c>
      <c r="B69" s="139" t="str">
        <f>DATA[[#This Row],[To_ID]]</f>
        <v>SVP1</v>
      </c>
      <c r="C69" s="141">
        <f>DATA[[#This Row],[Dia]]</f>
        <v>100</v>
      </c>
      <c r="D69" s="142">
        <f>IF(Material[[#This Row],[TOTAL]],SUMIF(Material[FLAG],Material[[#This Row],[COUNT]]-1,Material[Length]),DATA[[#This Row],[Length]])</f>
        <v>1.9</v>
      </c>
      <c r="E69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1</v>
      </c>
      <c r="F69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69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69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69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69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69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69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69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69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69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69" s="155" t="str">
        <f>IF(Material[[#This Row],[TOTAL]],SUMIF(Material[FLAG],Material[[#This Row],[COUNT]]-1,Material[Bend15]),"")</f>
        <v/>
      </c>
      <c r="Q69" s="156" t="str">
        <f>IF(Material[[#This Row],[TOTAL]],SUMIF(Material[FLAG],Material[[#This Row],[COUNT]]-1,Material[Bend30]),"")</f>
        <v/>
      </c>
      <c r="R69" s="156" t="str">
        <f>IF(Material[[#This Row],[TOTAL]],SUMIF(Material[FLAG],Material[[#This Row],[COUNT]]-1,Material[Bend45]),"")</f>
        <v/>
      </c>
      <c r="S69" s="157" t="str">
        <f>IF(Material[[#This Row],[TOTAL]],SUMIF(Material[FLAG],Material[[#This Row],[COUNT]]-1,Material[Bend90]),"")</f>
        <v/>
      </c>
      <c r="T69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69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69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69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69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69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69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69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69" s="159" t="str">
        <f>DATA[[#This Row],[Product]]</f>
        <v>Plastic</v>
      </c>
      <c r="AC69" s="160">
        <f>DATA[[#This Row],[Fnd_Xd]]</f>
        <v>0</v>
      </c>
      <c r="AD69" s="161" t="b">
        <f>IF(ISNUMBER(SEARCH("jun",DATA[[#This Row],[From_Type]])),TRUE,FALSE)</f>
        <v>0</v>
      </c>
      <c r="AE69" s="162" t="str">
        <f>IF(Material[[#This Row],[JUNCTION]],CONCATENATE(Material[[#This Row],[From]],Material[[#This Row],[Dia]],DATA[[#This Row],[From_Type]]),"")</f>
        <v/>
      </c>
      <c r="AF69" s="163" t="b">
        <f>IF(OR(DATA[[#This Row],[TOTAL]],COUNTIF(Material[[#This Row],[From]:[Dia]],"*total*")&gt;0),TRUE,FALSE)</f>
        <v>0</v>
      </c>
      <c r="AG69" s="163">
        <f>IF(Material[[#This Row],[TOTAL]],"",Material[[#This Row],[COUNT]])</f>
        <v>3</v>
      </c>
      <c r="AH69" s="164">
        <f>IF(Material[[#This Row],[TOTAL]],$AH68+1,IF($AH68="COUNT",1,$AH68))</f>
        <v>3</v>
      </c>
    </row>
    <row r="70" spans="1:34" x14ac:dyDescent="0.2">
      <c r="A70" s="139" t="str">
        <f>DATA[[#This Row],[From_ID]]&amp;IF(COUNTA(DATA[[#This Row],[From_ID2]]),"/"&amp;DATA[[#This Row],[From_ID2]],)</f>
        <v>FWMH09</v>
      </c>
      <c r="B70" s="139" t="str">
        <f>DATA[[#This Row],[To_ID]]</f>
        <v>SVP2</v>
      </c>
      <c r="C70" s="141">
        <f>DATA[[#This Row],[Dia]]</f>
        <v>100</v>
      </c>
      <c r="D70" s="142">
        <f>IF(Material[[#This Row],[TOTAL]],SUMIF(Material[FLAG],Material[[#This Row],[COUNT]]-1,Material[Length]),DATA[[#This Row],[Length]])</f>
        <v>5.65</v>
      </c>
      <c r="E70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2</v>
      </c>
      <c r="F70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2</v>
      </c>
      <c r="G70" s="151">
        <f>IF(Material[[#This Row],[TOTAL]],SUMIF(Material[FLAG],Material[[#This Row],[COUNT]]-1,Material[Coupl]),IF(ISNUMBER(Material[[#This Row],[Std_Pipes]]),CEILING(MOD(Material[[#This Row],[Std_Pipes]],1),1)+Material[[#This Row],[Rock_Pipes]],""))</f>
        <v>2</v>
      </c>
      <c r="H70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70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70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70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70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70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70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70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70" s="155" t="str">
        <f>IF(Material[[#This Row],[TOTAL]],SUMIF(Material[FLAG],Material[[#This Row],[COUNT]]-1,Material[Bend15]),"")</f>
        <v/>
      </c>
      <c r="Q70" s="156" t="str">
        <f>IF(Material[[#This Row],[TOTAL]],SUMIF(Material[FLAG],Material[[#This Row],[COUNT]]-1,Material[Bend30]),"")</f>
        <v/>
      </c>
      <c r="R70" s="156" t="str">
        <f>IF(Material[[#This Row],[TOTAL]],SUMIF(Material[FLAG],Material[[#This Row],[COUNT]]-1,Material[Bend45]),"")</f>
        <v/>
      </c>
      <c r="S70" s="157" t="str">
        <f>IF(Material[[#This Row],[TOTAL]],SUMIF(Material[FLAG],Material[[#This Row],[COUNT]]-1,Material[Bend90]),"")</f>
        <v/>
      </c>
      <c r="T70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1</v>
      </c>
      <c r="U70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0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0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0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0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0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0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0" s="159" t="str">
        <f>DATA[[#This Row],[Product]]</f>
        <v>Plastic</v>
      </c>
      <c r="AC70" s="160">
        <f>DATA[[#This Row],[Fnd_Xd]]</f>
        <v>0</v>
      </c>
      <c r="AD70" s="161" t="b">
        <f>IF(ISNUMBER(SEARCH("jun",DATA[[#This Row],[From_Type]])),TRUE,FALSE)</f>
        <v>0</v>
      </c>
      <c r="AE70" s="162" t="str">
        <f>IF(Material[[#This Row],[JUNCTION]],CONCATENATE(Material[[#This Row],[From]],Material[[#This Row],[Dia]],DATA[[#This Row],[From_Type]]),"")</f>
        <v/>
      </c>
      <c r="AF70" s="163" t="b">
        <f>IF(OR(DATA[[#This Row],[TOTAL]],COUNTIF(Material[[#This Row],[From]:[Dia]],"*total*")&gt;0),TRUE,FALSE)</f>
        <v>0</v>
      </c>
      <c r="AG70" s="163">
        <f>IF(Material[[#This Row],[TOTAL]],"",Material[[#This Row],[COUNT]])</f>
        <v>3</v>
      </c>
      <c r="AH70" s="164">
        <f>IF(Material[[#This Row],[TOTAL]],$AH69+1,IF($AH69="COUNT",1,$AH69))</f>
        <v>3</v>
      </c>
    </row>
    <row r="71" spans="1:34" x14ac:dyDescent="0.2">
      <c r="A71" s="139" t="str">
        <f>DATA[[#This Row],[From_ID]]&amp;IF(COUNTA(DATA[[#This Row],[From_ID2]]),"/"&amp;DATA[[#This Row],[From_ID2]],)</f>
        <v>FWMH09</v>
      </c>
      <c r="B71" s="139" t="str">
        <f>DATA[[#This Row],[To_ID]]</f>
        <v>FWMH11</v>
      </c>
      <c r="C71" s="141">
        <f>DATA[[#This Row],[Dia]]</f>
        <v>100</v>
      </c>
      <c r="D71" s="142">
        <f>IF(Material[[#This Row],[TOTAL]],SUMIF(Material[FLAG],Material[[#This Row],[COUNT]]-1,Material[Length]),DATA[[#This Row],[Length]])</f>
        <v>8.15</v>
      </c>
      <c r="E71" s="150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>3</v>
      </c>
      <c r="F71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4</v>
      </c>
      <c r="G71" s="151">
        <f>IF(Material[[#This Row],[TOTAL]],SUMIF(Material[FLAG],Material[[#This Row],[COUNT]]-1,Material[Coupl]),IF(ISNUMBER(Material[[#This Row],[Std_Pipes]]),CEILING(MOD(Material[[#This Row],[Std_Pipes]],1),1)+Material[[#This Row],[Rock_Pipes]],""))</f>
        <v>4</v>
      </c>
      <c r="H71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71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71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71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71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71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71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71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71" s="155" t="str">
        <f>IF(Material[[#This Row],[TOTAL]],SUMIF(Material[FLAG],Material[[#This Row],[COUNT]]-1,Material[Bend15]),"")</f>
        <v/>
      </c>
      <c r="Q71" s="156" t="str">
        <f>IF(Material[[#This Row],[TOTAL]],SUMIF(Material[FLAG],Material[[#This Row],[COUNT]]-1,Material[Bend30]),"")</f>
        <v/>
      </c>
      <c r="R71" s="156" t="str">
        <f>IF(Material[[#This Row],[TOTAL]],SUMIF(Material[FLAG],Material[[#This Row],[COUNT]]-1,Material[Bend45]),"")</f>
        <v/>
      </c>
      <c r="S71" s="157" t="str">
        <f>IF(Material[[#This Row],[TOTAL]],SUMIF(Material[FLAG],Material[[#This Row],[COUNT]]-1,Material[Bend90]),"")</f>
        <v/>
      </c>
      <c r="T71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71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1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1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1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1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1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1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1" s="159" t="str">
        <f>DATA[[#This Row],[Product]]</f>
        <v>Plastic</v>
      </c>
      <c r="AC71" s="160">
        <f>DATA[[#This Row],[Fnd_Xd]]</f>
        <v>0</v>
      </c>
      <c r="AD71" s="161" t="b">
        <f>IF(ISNUMBER(SEARCH("jun",DATA[[#This Row],[From_Type]])),TRUE,FALSE)</f>
        <v>0</v>
      </c>
      <c r="AE71" s="162" t="str">
        <f>IF(Material[[#This Row],[JUNCTION]],CONCATENATE(Material[[#This Row],[From]],Material[[#This Row],[Dia]],DATA[[#This Row],[From_Type]]),"")</f>
        <v/>
      </c>
      <c r="AF71" s="163" t="b">
        <f>IF(OR(DATA[[#This Row],[TOTAL]],COUNTIF(Material[[#This Row],[From]:[Dia]],"*total*")&gt;0),TRUE,FALSE)</f>
        <v>0</v>
      </c>
      <c r="AG71" s="163">
        <f>IF(Material[[#This Row],[TOTAL]],"",Material[[#This Row],[COUNT]])</f>
        <v>3</v>
      </c>
      <c r="AH71" s="164">
        <f>IF(Material[[#This Row],[TOTAL]],$AH70+1,IF($AH70="COUNT",1,$AH70))</f>
        <v>3</v>
      </c>
    </row>
    <row r="72" spans="1:34" x14ac:dyDescent="0.2">
      <c r="A72" s="139" t="str">
        <f>DATA[[#This Row],[From_ID]]&amp;IF(COUNTA(DATA[[#This Row],[From_ID2]]),"/"&amp;DATA[[#This Row],[From_ID2]],)</f>
        <v/>
      </c>
      <c r="B72" s="139">
        <f>DATA[[#This Row],[To_ID]]</f>
        <v>0</v>
      </c>
      <c r="C72" s="141">
        <f>DATA[[#This Row],[Dia]]</f>
        <v>0</v>
      </c>
      <c r="D72" s="142">
        <f>IF(Material[[#This Row],[TOTAL]],SUMIF(Material[FLAG],Material[[#This Row],[COUNT]]-1,Material[Length]),DATA[[#This Row],[Length]])</f>
        <v>0</v>
      </c>
      <c r="E72" s="150" t="str">
        <f>IF(Material[[#This Row],[TOTAL]],SUMIF(Material[FLAG],Material[[#This Row],[COUNT]]-1,Material[Std_Pipes]),IF(Material[[#This Row],[Length]]=0,"",CEILING(Material[[#This Row],[Length]]/INDEX(Pipe_Length[],MATCH(Material[[#This Row],[Dia]],Pipe_Length[Diameter],0),MATCH(Material[[#This Row],[Material]],Pipe_Length[#Headers],0)),0.5)))</f>
        <v/>
      </c>
      <c r="F72" s="141">
        <f>IF(Material[[#This Row],[TOTAL]],SUMIF(Material[FLAG],Material[[#This Row],[COUNT]]-1,Material[Rock_Pipes]),(COUNTIF(DATA[[#This Row],[From_Type]],"Manhole")+COUNTIF(DATA[[#This Row],[To_Type]],"Manhole"))*INDEX(Allowance[],MATCH("Manhole",Allowance[Type],0),MATCH("Rocker",Allowance[#Headers],0)))</f>
        <v>0</v>
      </c>
      <c r="G72" s="151" t="str">
        <f>IF(Material[[#This Row],[TOTAL]],SUMIF(Material[FLAG],Material[[#This Row],[COUNT]]-1,Material[Coupl]),IF(ISNUMBER(Material[[#This Row],[Std_Pipes]]),CEILING(MOD(Material[[#This Row],[Std_Pipes]],1),1)+Material[[#This Row],[Rock_Pipes]],""))</f>
        <v/>
      </c>
      <c r="H72" s="152">
        <f>IF(Material[[#This Row],[TOTAL]],SUMIF(Material[FLAG],Material[[#This Row],[COUNT]]-1,Material[ObJun4]),COUNTIF(Material[JUN_ID],CONCATENATE(Material[[#This Row],[From]],"/",Material[[#This Row],[To]],H$4,"JunOb")))</f>
        <v>0</v>
      </c>
      <c r="I72" s="153">
        <f>IF(Material[[#This Row],[TOTAL]],SUMIF(Material[FLAG],Material[[#This Row],[COUNT]]-1,Material[ObJun6]),COUNTIF(Material[JUN_ID],CONCATENATE(Material[[#This Row],[From]],"/",Material[[#This Row],[To]],I$4,"JunOb")))</f>
        <v>0</v>
      </c>
      <c r="J72" s="153">
        <f>IF(Material[[#This Row],[TOTAL]],SUMIF(Material[FLAG],Material[[#This Row],[COUNT]]-1,Material[ObJun9]),COUNTIF(Material[JUN_ID],CONCATENATE(Material[[#This Row],[From]],"/",Material[[#This Row],[To]],J$4,"JunOb")))</f>
        <v>0</v>
      </c>
      <c r="K72" s="154">
        <f>IF(Material[[#This Row],[TOTAL]],SUMIF(Material[FLAG],Material[[#This Row],[COUNT]]-1,Material[ObJun12]),COUNTIF(Material[JUN_ID],CONCATENATE(Material[[#This Row],[From]],"/",Material[[#This Row],[To]],K$4,"JunOb")))</f>
        <v>0</v>
      </c>
      <c r="L72" s="152">
        <f>IF(Material[[#This Row],[TOTAL]],SUMIF(Material[FLAG],Material[[#This Row],[COUNT]]-1,Material[SqJun4]),COUNTIF(Material[JUN_ID],CONCATENATE(Material[[#This Row],[From]],"/",Material[[#This Row],[To]],L$4,"JunSq")))</f>
        <v>0</v>
      </c>
      <c r="M72" s="153">
        <f>IF(Material[[#This Row],[TOTAL]],SUMIF(Material[FLAG],Material[[#This Row],[COUNT]]-1,Material[SqJun6]),COUNTIF(Material[JUN_ID],CONCATENATE(Material[[#This Row],[From]],"/",Material[[#This Row],[To]],M$4,"JunSq")))</f>
        <v>0</v>
      </c>
      <c r="N72" s="153">
        <f>IF(Material[[#This Row],[TOTAL]],SUMIF(Material[FLAG],Material[[#This Row],[COUNT]]-1,Material[SqJun9]),COUNTIF(Material[JUN_ID],CONCATENATE(Material[[#This Row],[From]],"/",Material[[#This Row],[To]],N$4,"JunSq")))</f>
        <v>0</v>
      </c>
      <c r="O72" s="154">
        <f>IF(Material[[#This Row],[TOTAL]],SUMIF(Material[FLAG],Material[[#This Row],[COUNT]]-1,Material[SqJun12]),COUNTIF(Material[JUN_ID],CONCATENATE(Material[[#This Row],[From]],"/",Material[[#This Row],[To]],O$4,"JunSq")))</f>
        <v>0</v>
      </c>
      <c r="P72" s="155" t="str">
        <f>IF(Material[[#This Row],[TOTAL]],SUMIF(Material[FLAG],Material[[#This Row],[COUNT]]-1,Material[Bend15]),"")</f>
        <v/>
      </c>
      <c r="Q72" s="156" t="str">
        <f>IF(Material[[#This Row],[TOTAL]],SUMIF(Material[FLAG],Material[[#This Row],[COUNT]]-1,Material[Bend30]),"")</f>
        <v/>
      </c>
      <c r="R72" s="156" t="str">
        <f>IF(Material[[#This Row],[TOTAL]],SUMIF(Material[FLAG],Material[[#This Row],[COUNT]]-1,Material[Bend45]),"")</f>
        <v/>
      </c>
      <c r="S72" s="157" t="str">
        <f>IF(Material[[#This Row],[TOTAL]],SUMIF(Material[FLAG],Material[[#This Row],[COUNT]]-1,Material[Bend90]),"")</f>
        <v/>
      </c>
      <c r="T72" s="158">
        <f>IF(Material[[#This Row],[TOTAL]],SUMIF(Material[FLAG],Material[[#This Row],[COUNT]]-1,Material[Rest_Bend]),IF(ISBLANK(DATA[[#This Row],[From_Type]]),0,INDEX(Allowance[],MATCH(DATA[[#This Row],[From_Type]],Allowance[Type],0),MATCH(T$3,Allowance[#Headers],0)))+IF(ISBLANK(DATA[[#This Row],[To_Type]]),0,INDEX(Allowance[],MATCH(DATA[[#This Row],[To_Type]],Allowance[Type],0),MATCH(T$3,Allowance[#Headers],0))))</f>
        <v>0</v>
      </c>
      <c r="U72" s="141">
        <f>IF(Material[[#This Row],[TOTAL]],SUMIF(Material[FLAG],Material[[#This Row],[COUNT]]-1,Material[Inlet_Gully]),IF(ISBLANK(DATA[[#This Row],[From_Type]]),0,INDEX(Allowance[],MATCH(DATA[[#This Row],[From_Type]],Allowance[Type],0),MATCH(U$3,Allowance[#Headers],0)))+IF(ISBLANK(DATA[[#This Row],[To_Type]]),0,INDEX(Allowance[],MATCH(DATA[[#This Row],[To_Type]],Allowance[Type],0),MATCH(U$3,Allowance[#Headers],0))))</f>
        <v>0</v>
      </c>
      <c r="V72" s="141">
        <f>IF(Material[[#This Row],[TOTAL]],SUMIF(Material[FLAG],Material[[#This Row],[COUNT]]-1,Material[Gully]),IF(ISBLANK(DATA[[#This Row],[From_Type]]),0,INDEX(Allowance[],MATCH(DATA[[#This Row],[From_Type]],Allowance[Type],0),MATCH(V$3,Allowance[#Headers],0)))+IF(ISBLANK(DATA[[#This Row],[To_Type]]),0,INDEX(Allowance[],MATCH(DATA[[#This Row],[To_Type]],Allowance[Type],0),MATCH(V$3,Allowance[#Headers],0))))</f>
        <v>0</v>
      </c>
      <c r="W72" s="141">
        <f>IF(Material[[#This Row],[TOTAL]],SUMIF(Material[FLAG],Material[[#This Row],[COUNT]]-1,Material[Road_Gully]),IF(ISBLANK(DATA[[#This Row],[From_Type]]),0,INDEX(Allowance[],MATCH(DATA[[#This Row],[From_Type]],Allowance[Type],0),MATCH(W$3,Allowance[#Headers],0)))+IF(ISBLANK(DATA[[#This Row],[To_Type]]),0,INDEX(Allowance[],MATCH(DATA[[#This Row],[To_Type]],Allowance[Type],0),MATCH(W$3,Allowance[#Headers],0))))</f>
        <v>0</v>
      </c>
      <c r="X72" s="141">
        <f>IF(Material[[#This Row],[TOTAL]],SUMIF(Material[FLAG],Material[[#This Row],[COUNT]]-1,Material[Yard_Gully]),IF(ISBLANK(DATA[[#This Row],[From_Type]]),0,INDEX(Allowance[],MATCH(DATA[[#This Row],[From_Type]],Allowance[Type],0),MATCH(X$3,Allowance[#Headers],0)))+IF(ISBLANK(DATA[[#This Row],[To_Type]]),0,INDEX(Allowance[],MATCH(DATA[[#This Row],[To_Type]],Allowance[Type],0),MATCH(X$3,Allowance[#Headers],0))))</f>
        <v>0</v>
      </c>
      <c r="Y72" s="141">
        <f>IF(Material[[#This Row],[TOTAL]],SUMIF(Material[FLAG],Material[[#This Row],[COUNT]]-1,Material[Rod_Eye]),IF(ISBLANK(DATA[[#This Row],[From_Type]]),0,INDEX(Allowance[],MATCH(DATA[[#This Row],[From_Type]],Allowance[Type],0),MATCH(Y$3,Allowance[#Headers],0)))+IF(ISBLANK(DATA[[#This Row],[To_Type]]),0,INDEX(Allowance[],MATCH(DATA[[#This Row],[To_Type]],Allowance[Type],0),MATCH(Y$3,Allowance[#Headers],0))))</f>
        <v>0</v>
      </c>
      <c r="Z72" s="141">
        <f>IF(Material[[#This Row],[TOTAL]],SUMIF(Material[FLAG],Material[[#This Row],[COUNT]]-1,Material[Acc1]),IF(ISBLANK(DATA[[#This Row],[From_Type]]),0,INDEX(Allowance[],MATCH(DATA[[#This Row],[From_Type]],Allowance[Type],0),MATCH(Z$3,Allowance[#Headers],0)))+IF(ISBLANK(DATA[[#This Row],[To_Type]]),0,INDEX(Allowance[],MATCH(DATA[[#This Row],[To_Type]],Allowance[Type],0),MATCH(Z$3,Allowance[#Headers],0))))</f>
        <v>0</v>
      </c>
      <c r="AA72" s="151">
        <f>IF(Material[[#This Row],[TOTAL]],SUMIF(Material[FLAG],Material[[#This Row],[COUNT]]-1,Material[Acc2]),IF(ISBLANK(DATA[[#This Row],[From_Type]]),0,INDEX(Allowance[],MATCH(DATA[[#This Row],[From_Type]],Allowance[Type],0),MATCH(AA$3,Allowance[#Headers],0)))+IF(ISBLANK(DATA[[#This Row],[To_Type]]),0,INDEX(Allowance[],MATCH(DATA[[#This Row],[To_Type]],Allowance[Type],0),MATCH(AA$3,Allowance[#Headers],0))))</f>
        <v>0</v>
      </c>
      <c r="AB72" s="159" t="str">
        <f>DATA[[#This Row],[Product]]</f>
        <v>Plastic</v>
      </c>
      <c r="AC72" s="160">
        <f>DATA[[#This Row],[Fnd_Xd]]</f>
        <v>0</v>
      </c>
      <c r="AD72" s="161" t="b">
        <f>IF(ISNUMBER(SEARCH("jun",DATA[[#This Row],[From_Type]])),TRUE,FALSE)</f>
        <v>0</v>
      </c>
      <c r="AE72" s="162" t="str">
        <f>IF(Material[[#This Row],[JUNCTION]],CONCATENATE(Material[[#This Row],[From]],Material[[#This Row],[Dia]],DATA[[#This Row],[From_Type]]),"")</f>
        <v/>
      </c>
      <c r="AF72" s="163" t="b">
        <f>IF(OR(DATA[[#This Row],[TOTAL]],COUNTIF(Material[[#This Row],[From]:[Dia]],"*total*")&gt;0),TRUE,FALSE)</f>
        <v>0</v>
      </c>
      <c r="AG72" s="163">
        <f>IF(Material[[#This Row],[TOTAL]],"",Material[[#This Row],[COUNT]])</f>
        <v>3</v>
      </c>
      <c r="AH72" s="164">
        <f>IF(Material[[#This Row],[TOTAL]],$AH71+1,IF($AH71="COUNT",1,$AH71))</f>
        <v>3</v>
      </c>
    </row>
  </sheetData>
  <mergeCells count="23">
    <mergeCell ref="AF3:AH3"/>
    <mergeCell ref="A3:B3"/>
    <mergeCell ref="C3:C4"/>
    <mergeCell ref="D3:D4"/>
    <mergeCell ref="AB3:AC3"/>
    <mergeCell ref="E3:E4"/>
    <mergeCell ref="F3:F4"/>
    <mergeCell ref="G3:G4"/>
    <mergeCell ref="T3:T4"/>
    <mergeCell ref="U3:U4"/>
    <mergeCell ref="W3:W4"/>
    <mergeCell ref="X3:X4"/>
    <mergeCell ref="Y3:Y4"/>
    <mergeCell ref="R1:AA1"/>
    <mergeCell ref="AD3:AE3"/>
    <mergeCell ref="Z3:Z4"/>
    <mergeCell ref="AA3:AA4"/>
    <mergeCell ref="H3:K3"/>
    <mergeCell ref="L3:O3"/>
    <mergeCell ref="P3:S3"/>
    <mergeCell ref="V3:V4"/>
    <mergeCell ref="H1:K1"/>
    <mergeCell ref="H2:K2"/>
  </mergeCells>
  <conditionalFormatting sqref="AI4:AK4 AN4:XFD4">
    <cfRule type="expression" dxfId="93" priority="1">
      <formula>IF($B5="TOTAL",1,0)</formula>
    </cfRule>
  </conditionalFormatting>
  <conditionalFormatting sqref="A5:AH72">
    <cfRule type="expression" dxfId="92" priority="4">
      <formula>$AF5</formula>
    </cfRule>
  </conditionalFormatting>
  <pageMargins left="0.31496062992125984" right="0.31496062992125984" top="0.55118110236220474" bottom="0.55118110236220474" header="0.31496062992125984" footer="0.31496062992125984"/>
  <pageSetup paperSize="9" orientation="landscape" r:id="rId1"/>
  <headerFooter>
    <oddFooter>&amp;L&amp;F&amp;CPage &amp;P of &amp;N&amp;RVer: 19.12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/>
  </sheetPr>
  <dimension ref="A1:L41"/>
  <sheetViews>
    <sheetView zoomScaleNormal="100" workbookViewId="0">
      <selection activeCell="L23" sqref="L23"/>
    </sheetView>
  </sheetViews>
  <sheetFormatPr defaultColWidth="8.85546875" defaultRowHeight="15" x14ac:dyDescent="0.25"/>
  <cols>
    <col min="1" max="1" width="9.5703125" style="4" bestFit="1" customWidth="1"/>
    <col min="2" max="2" width="8.42578125" style="4" bestFit="1" customWidth="1"/>
    <col min="3" max="3" width="9.28515625" style="4" bestFit="1" customWidth="1"/>
    <col min="4" max="4" width="8.5703125" style="4" bestFit="1" customWidth="1"/>
    <col min="5" max="5" width="6.7109375" style="4" bestFit="1" customWidth="1"/>
    <col min="6" max="6" width="9.42578125" style="4" bestFit="1" customWidth="1"/>
    <col min="7" max="7" width="7.28515625" style="4" bestFit="1" customWidth="1"/>
    <col min="8" max="8" width="10" style="4" bestFit="1" customWidth="1"/>
    <col min="9" max="9" width="9.42578125" style="4" bestFit="1" customWidth="1"/>
    <col min="10" max="10" width="7.7109375" style="4" bestFit="1" customWidth="1"/>
    <col min="11" max="11" width="8.85546875" style="4"/>
    <col min="12" max="12" width="9.140625" style="4" customWidth="1"/>
    <col min="13" max="16384" width="8.85546875" style="4"/>
  </cols>
  <sheetData>
    <row r="1" spans="1:12" ht="15.75" x14ac:dyDescent="0.25">
      <c r="A1" s="214" t="s">
        <v>9</v>
      </c>
      <c r="B1" s="214"/>
      <c r="C1" s="214"/>
      <c r="D1" s="214"/>
      <c r="E1" s="214"/>
      <c r="F1" s="214"/>
      <c r="G1" s="214"/>
      <c r="H1" s="214"/>
      <c r="I1" s="214"/>
      <c r="J1" s="214"/>
    </row>
    <row r="2" spans="1:12" x14ac:dyDescent="0.25">
      <c r="A2" s="34" t="s">
        <v>8</v>
      </c>
      <c r="B2" s="34" t="s">
        <v>17</v>
      </c>
      <c r="C2" s="34" t="s">
        <v>15</v>
      </c>
      <c r="D2" s="34" t="s">
        <v>24</v>
      </c>
      <c r="E2" s="34" t="s">
        <v>25</v>
      </c>
      <c r="F2" s="34" t="s">
        <v>16</v>
      </c>
      <c r="G2" s="34" t="s">
        <v>11</v>
      </c>
      <c r="H2" s="34" t="s">
        <v>22</v>
      </c>
      <c r="I2" s="34" t="s">
        <v>23</v>
      </c>
      <c r="J2" s="34" t="s">
        <v>63</v>
      </c>
      <c r="K2" s="111" t="s">
        <v>76</v>
      </c>
      <c r="L2" s="111" t="s">
        <v>77</v>
      </c>
    </row>
    <row r="3" spans="1:12" x14ac:dyDescent="0.25">
      <c r="A3" s="4" t="s">
        <v>14</v>
      </c>
      <c r="B3" s="34"/>
      <c r="C3" s="34"/>
      <c r="D3" s="34"/>
      <c r="E3" s="34"/>
      <c r="F3" s="34"/>
      <c r="G3" s="34"/>
      <c r="H3" s="34"/>
      <c r="I3" s="34"/>
      <c r="J3" s="34"/>
      <c r="K3" s="110"/>
      <c r="L3" s="110"/>
    </row>
    <row r="4" spans="1:12" x14ac:dyDescent="0.25">
      <c r="A4" s="4" t="s">
        <v>10</v>
      </c>
      <c r="B4" s="34"/>
      <c r="C4" s="34">
        <v>1</v>
      </c>
      <c r="D4" s="34"/>
      <c r="E4" s="34"/>
      <c r="F4" s="34"/>
      <c r="G4" s="34"/>
      <c r="H4" s="34"/>
      <c r="I4" s="34"/>
      <c r="J4" s="34"/>
      <c r="K4" s="110"/>
      <c r="L4" s="110"/>
    </row>
    <row r="5" spans="1:12" x14ac:dyDescent="0.25">
      <c r="A5" s="4" t="s">
        <v>11</v>
      </c>
      <c r="B5" s="34"/>
      <c r="C5" s="34"/>
      <c r="D5" s="34"/>
      <c r="E5" s="34"/>
      <c r="F5" s="34"/>
      <c r="G5" s="34">
        <v>1</v>
      </c>
      <c r="H5" s="34"/>
      <c r="I5" s="34"/>
      <c r="J5" s="34"/>
      <c r="K5" s="110"/>
      <c r="L5" s="110"/>
    </row>
    <row r="6" spans="1:12" x14ac:dyDescent="0.25">
      <c r="A6" s="4" t="s">
        <v>58</v>
      </c>
      <c r="B6" s="34"/>
      <c r="C6" s="34"/>
      <c r="D6" s="34"/>
      <c r="E6" s="34"/>
      <c r="F6" s="34"/>
      <c r="G6" s="34"/>
      <c r="H6" s="34"/>
      <c r="I6" s="34"/>
      <c r="J6" s="34"/>
      <c r="K6" s="110"/>
      <c r="L6" s="110"/>
    </row>
    <row r="7" spans="1:12" x14ac:dyDescent="0.25">
      <c r="A7" s="4" t="s">
        <v>41</v>
      </c>
      <c r="B7" s="34"/>
      <c r="C7" s="34"/>
      <c r="D7" s="34"/>
      <c r="E7" s="34"/>
      <c r="F7" s="34">
        <v>1</v>
      </c>
      <c r="G7" s="34"/>
      <c r="H7" s="34"/>
      <c r="I7" s="34"/>
      <c r="J7" s="34"/>
      <c r="K7" s="110"/>
      <c r="L7" s="110"/>
    </row>
    <row r="8" spans="1:12" x14ac:dyDescent="0.25">
      <c r="A8" s="4" t="s">
        <v>18</v>
      </c>
      <c r="B8" s="34"/>
      <c r="C8" s="34"/>
      <c r="D8" s="34">
        <v>1</v>
      </c>
      <c r="E8" s="34"/>
      <c r="F8" s="34"/>
      <c r="G8" s="34"/>
      <c r="H8" s="34"/>
      <c r="I8" s="34"/>
      <c r="J8" s="34"/>
      <c r="K8" s="110"/>
      <c r="L8" s="110"/>
    </row>
    <row r="9" spans="1:12" x14ac:dyDescent="0.25">
      <c r="A9" s="4" t="s">
        <v>19</v>
      </c>
      <c r="B9" s="34"/>
      <c r="C9" s="34"/>
      <c r="D9" s="34">
        <v>1</v>
      </c>
      <c r="E9" s="34"/>
      <c r="F9" s="34"/>
      <c r="G9" s="34"/>
      <c r="H9" s="34"/>
      <c r="I9" s="34"/>
      <c r="J9" s="34"/>
      <c r="K9" s="110"/>
      <c r="L9" s="110"/>
    </row>
    <row r="10" spans="1:12" x14ac:dyDescent="0.25">
      <c r="A10" s="4" t="s">
        <v>30</v>
      </c>
      <c r="B10" s="34">
        <v>2</v>
      </c>
      <c r="C10" s="34"/>
      <c r="D10" s="34"/>
      <c r="E10" s="34"/>
      <c r="F10" s="34"/>
      <c r="G10" s="34"/>
      <c r="H10" s="34"/>
      <c r="I10" s="34"/>
      <c r="J10" s="34"/>
      <c r="K10" s="110"/>
      <c r="L10" s="110"/>
    </row>
    <row r="11" spans="1:12" x14ac:dyDescent="0.25">
      <c r="A11" s="4" t="s">
        <v>63</v>
      </c>
      <c r="B11" s="34"/>
      <c r="C11" s="34"/>
      <c r="D11" s="34"/>
      <c r="E11" s="34"/>
      <c r="F11" s="34"/>
      <c r="G11" s="34"/>
      <c r="H11" s="34"/>
      <c r="I11" s="34"/>
      <c r="J11" s="34">
        <v>1</v>
      </c>
      <c r="K11" s="110"/>
      <c r="L11" s="110"/>
    </row>
    <row r="12" spans="1:12" x14ac:dyDescent="0.25">
      <c r="A12" s="4" t="s">
        <v>12</v>
      </c>
      <c r="B12" s="34"/>
      <c r="C12" s="34"/>
      <c r="D12" s="34"/>
      <c r="E12" s="34"/>
      <c r="F12" s="34"/>
      <c r="G12" s="34"/>
      <c r="H12" s="34">
        <v>1</v>
      </c>
      <c r="I12" s="34"/>
      <c r="J12" s="34"/>
      <c r="K12" s="110"/>
      <c r="L12" s="110"/>
    </row>
    <row r="13" spans="1:12" x14ac:dyDescent="0.25">
      <c r="A13" s="4" t="s">
        <v>20</v>
      </c>
      <c r="B13" s="34"/>
      <c r="C13" s="34"/>
      <c r="D13" s="34"/>
      <c r="E13" s="34">
        <v>1</v>
      </c>
      <c r="F13" s="34"/>
      <c r="G13" s="34"/>
      <c r="H13" s="34"/>
      <c r="I13" s="34"/>
      <c r="J13" s="34"/>
      <c r="K13" s="110"/>
      <c r="L13" s="110"/>
    </row>
    <row r="14" spans="1:12" x14ac:dyDescent="0.25">
      <c r="A14" s="4" t="s">
        <v>21</v>
      </c>
      <c r="B14" s="34"/>
      <c r="C14" s="34"/>
      <c r="D14" s="34"/>
      <c r="E14" s="34">
        <v>1</v>
      </c>
      <c r="F14" s="34"/>
      <c r="G14" s="34"/>
      <c r="H14" s="34"/>
      <c r="I14" s="34"/>
      <c r="J14" s="34"/>
      <c r="K14" s="110"/>
      <c r="L14" s="110"/>
    </row>
    <row r="15" spans="1:12" x14ac:dyDescent="0.25">
      <c r="A15" s="4" t="s">
        <v>13</v>
      </c>
      <c r="B15" s="34"/>
      <c r="C15" s="34"/>
      <c r="D15" s="34"/>
      <c r="E15" s="34"/>
      <c r="F15" s="34"/>
      <c r="G15" s="34"/>
      <c r="H15" s="34"/>
      <c r="I15" s="34">
        <v>1</v>
      </c>
      <c r="J15" s="34"/>
      <c r="K15" s="110"/>
      <c r="L15" s="110"/>
    </row>
    <row r="17" spans="1:7" ht="15.75" x14ac:dyDescent="0.25">
      <c r="A17" s="214" t="s">
        <v>75</v>
      </c>
      <c r="B17" s="214"/>
      <c r="C17" s="214"/>
      <c r="D17" s="214"/>
      <c r="E17" s="214"/>
      <c r="F17" s="214"/>
      <c r="G17" s="214"/>
    </row>
    <row r="18" spans="1:7" x14ac:dyDescent="0.25">
      <c r="A18" s="34" t="s">
        <v>66</v>
      </c>
      <c r="B18" s="34" t="s">
        <v>37</v>
      </c>
      <c r="C18" s="34" t="s">
        <v>35</v>
      </c>
      <c r="D18" s="34" t="s">
        <v>57</v>
      </c>
      <c r="E18" s="34" t="s">
        <v>36</v>
      </c>
      <c r="F18" s="34" t="s">
        <v>56</v>
      </c>
      <c r="G18" s="34" t="s">
        <v>55</v>
      </c>
    </row>
    <row r="19" spans="1:7" x14ac:dyDescent="0.25">
      <c r="A19" s="34">
        <v>100</v>
      </c>
      <c r="B19" s="34">
        <v>6</v>
      </c>
      <c r="C19" s="34">
        <v>1.6</v>
      </c>
      <c r="D19" s="34"/>
      <c r="E19" s="34">
        <v>3</v>
      </c>
      <c r="F19" s="34">
        <v>6</v>
      </c>
      <c r="G19" s="34"/>
    </row>
    <row r="20" spans="1:7" x14ac:dyDescent="0.25">
      <c r="A20" s="34">
        <v>150</v>
      </c>
      <c r="B20" s="34">
        <v>6</v>
      </c>
      <c r="C20" s="34">
        <v>1.75</v>
      </c>
      <c r="D20" s="34"/>
      <c r="E20" s="34">
        <v>3</v>
      </c>
      <c r="F20" s="34">
        <v>6</v>
      </c>
      <c r="G20" s="34">
        <v>3</v>
      </c>
    </row>
    <row r="21" spans="1:7" x14ac:dyDescent="0.25">
      <c r="A21" s="34">
        <v>200</v>
      </c>
      <c r="B21" s="34">
        <v>6</v>
      </c>
      <c r="C21" s="34"/>
      <c r="D21" s="34"/>
      <c r="E21" s="34"/>
      <c r="F21" s="34"/>
      <c r="G21" s="34"/>
    </row>
    <row r="22" spans="1:7" x14ac:dyDescent="0.25">
      <c r="A22" s="34">
        <v>225</v>
      </c>
      <c r="B22" s="34"/>
      <c r="C22" s="34">
        <v>1.75</v>
      </c>
      <c r="D22" s="34">
        <v>1.7</v>
      </c>
      <c r="E22" s="34"/>
      <c r="F22" s="34">
        <v>6</v>
      </c>
      <c r="G22" s="34">
        <v>3</v>
      </c>
    </row>
    <row r="23" spans="1:7" x14ac:dyDescent="0.25">
      <c r="A23" s="34">
        <v>250</v>
      </c>
      <c r="B23" s="34">
        <v>6</v>
      </c>
      <c r="C23" s="34"/>
      <c r="D23" s="34"/>
      <c r="E23" s="34"/>
      <c r="F23" s="34"/>
      <c r="G23" s="34"/>
    </row>
    <row r="24" spans="1:7" x14ac:dyDescent="0.25">
      <c r="A24" s="34">
        <v>300</v>
      </c>
      <c r="B24" s="34">
        <v>6</v>
      </c>
      <c r="C24" s="34">
        <v>2</v>
      </c>
      <c r="D24" s="34">
        <v>2.5</v>
      </c>
      <c r="E24" s="34"/>
      <c r="F24" s="34">
        <v>6</v>
      </c>
      <c r="G24" s="34">
        <v>3</v>
      </c>
    </row>
    <row r="25" spans="1:7" x14ac:dyDescent="0.25">
      <c r="A25" s="34">
        <v>350</v>
      </c>
      <c r="B25" s="34">
        <v>6</v>
      </c>
      <c r="C25" s="34"/>
      <c r="D25" s="34"/>
      <c r="E25" s="34"/>
      <c r="F25" s="34"/>
      <c r="G25" s="34"/>
    </row>
    <row r="26" spans="1:7" x14ac:dyDescent="0.25">
      <c r="A26" s="34">
        <v>375</v>
      </c>
      <c r="B26" s="34"/>
      <c r="C26" s="34"/>
      <c r="D26" s="34">
        <v>2.5</v>
      </c>
      <c r="E26" s="34"/>
      <c r="F26" s="34">
        <v>6</v>
      </c>
      <c r="G26" s="34"/>
    </row>
    <row r="29" spans="1:7" x14ac:dyDescent="0.25">
      <c r="A29" s="11"/>
    </row>
    <row r="30" spans="1:7" x14ac:dyDescent="0.25">
      <c r="A30" s="11"/>
    </row>
    <row r="31" spans="1:7" x14ac:dyDescent="0.25">
      <c r="A31" s="11"/>
    </row>
    <row r="32" spans="1:7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</sheetData>
  <sortState xmlns:xlrd2="http://schemas.microsoft.com/office/spreadsheetml/2017/richdata2" ref="A3:J13">
    <sortCondition ref="A3"/>
  </sortState>
  <mergeCells count="2">
    <mergeCell ref="A17:G17"/>
    <mergeCell ref="A1:J1"/>
  </mergeCells>
  <pageMargins left="0.7" right="0.7" top="0.75" bottom="0.75" header="0.3" footer="0.3"/>
  <legacy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17665-C246-4716-81BB-EAD8B3E225BF}">
  <sheetPr codeName="Sheet5"/>
  <dimension ref="A1:C5"/>
  <sheetViews>
    <sheetView workbookViewId="0">
      <selection activeCell="A2" sqref="A2"/>
    </sheetView>
  </sheetViews>
  <sheetFormatPr defaultRowHeight="15" x14ac:dyDescent="0.25"/>
  <cols>
    <col min="2" max="2" width="8.85546875" style="4"/>
  </cols>
  <sheetData>
    <row r="1" spans="1:3" x14ac:dyDescent="0.25">
      <c r="A1" s="174" t="s">
        <v>162</v>
      </c>
      <c r="B1" s="174" t="s">
        <v>163</v>
      </c>
      <c r="C1" s="174" t="s">
        <v>164</v>
      </c>
    </row>
    <row r="2" spans="1:3" x14ac:dyDescent="0.25">
      <c r="A2" s="169">
        <v>43903</v>
      </c>
      <c r="B2" s="169" t="s">
        <v>156</v>
      </c>
      <c r="C2" t="s">
        <v>155</v>
      </c>
    </row>
    <row r="3" spans="1:3" x14ac:dyDescent="0.25">
      <c r="A3" s="169">
        <v>43903</v>
      </c>
      <c r="B3" s="169" t="s">
        <v>156</v>
      </c>
      <c r="C3" t="s">
        <v>157</v>
      </c>
    </row>
    <row r="4" spans="1:3" x14ac:dyDescent="0.25">
      <c r="A4" s="169">
        <v>43903</v>
      </c>
      <c r="B4" s="169" t="s">
        <v>156</v>
      </c>
      <c r="C4" t="s">
        <v>159</v>
      </c>
    </row>
    <row r="5" spans="1:3" x14ac:dyDescent="0.25">
      <c r="A5" s="169">
        <v>43903</v>
      </c>
      <c r="B5" s="169" t="s">
        <v>160</v>
      </c>
      <c r="C5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DATA ENTRY</vt:lpstr>
      <vt:lpstr>MH SCHEDULE</vt:lpstr>
      <vt:lpstr>Depths</vt:lpstr>
      <vt:lpstr>Material</vt:lpstr>
      <vt:lpstr>Settings</vt:lpstr>
      <vt:lpstr>Change List </vt:lpstr>
      <vt:lpstr>Data_Date</vt:lpstr>
      <vt:lpstr>Dwgs</vt:lpstr>
      <vt:lpstr>ID_Type_List</vt:lpstr>
      <vt:lpstr>Job_No</vt:lpstr>
      <vt:lpstr>Job_Title</vt:lpstr>
      <vt:lpstr>Depths!Print_Area</vt:lpstr>
      <vt:lpstr>Material!Print_Area</vt:lpstr>
      <vt:lpstr>Depths!Print_Titles</vt:lpstr>
      <vt:lpstr>Material!Print_Titles</vt:lpstr>
      <vt:lpstr>Product_Type</vt:lpstr>
      <vt:lpstr>Revision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ndoherty</dc:creator>
  <cp:lastModifiedBy>Niall Doherty</cp:lastModifiedBy>
  <cp:lastPrinted>2021-01-28T22:51:33Z</cp:lastPrinted>
  <dcterms:created xsi:type="dcterms:W3CDTF">2011-07-05T08:49:05Z</dcterms:created>
  <dcterms:modified xsi:type="dcterms:W3CDTF">2021-01-29T00:00:53Z</dcterms:modified>
</cp:coreProperties>
</file>